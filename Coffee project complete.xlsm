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2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4c4dd2875224efe/Documents/"/>
    </mc:Choice>
  </mc:AlternateContent>
  <xr:revisionPtr revIDLastSave="544" documentId="8_{4D716EA7-8A24-4A4E-8466-3CEAF25295E4}" xr6:coauthVersionLast="47" xr6:coauthVersionMax="47" xr10:uidLastSave="{34D49EF8-56B5-4CCE-A27B-D7FF802AB1D3}"/>
  <bookViews>
    <workbookView minimized="1" xWindow="375" yWindow="345" windowWidth="28260" windowHeight="6000" activeTab="3" xr2:uid="{216E0802-E74A-4BB2-ABC4-59B529675187}"/>
  </bookViews>
  <sheets>
    <sheet name="Pivot" sheetId="11" r:id="rId1"/>
    <sheet name="Dashboard" sheetId="12" r:id="rId2"/>
    <sheet name="Coffee dataset" sheetId="2" r:id="rId3"/>
    <sheet name="Forecast " sheetId="10" r:id="rId4"/>
  </sheets>
  <definedNames>
    <definedName name="ExternalData_1" localSheetId="2" hidden="1">'Coffee dataset'!$A$1:$H$977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1" i="10" l="1"/>
  <c r="C145" i="10"/>
  <c r="C149" i="10"/>
  <c r="C153" i="10"/>
  <c r="C157" i="10"/>
  <c r="C161" i="10"/>
  <c r="C165" i="10"/>
  <c r="C169" i="10"/>
  <c r="C173" i="10"/>
  <c r="C177" i="10"/>
  <c r="C181" i="10"/>
  <c r="C185" i="10"/>
  <c r="C189" i="10"/>
  <c r="C193" i="10"/>
  <c r="C197" i="10"/>
  <c r="C201" i="10"/>
  <c r="C205" i="10"/>
  <c r="C209" i="10"/>
  <c r="C213" i="10"/>
  <c r="C217" i="10"/>
  <c r="C221" i="10"/>
  <c r="C225" i="10"/>
  <c r="C229" i="10"/>
  <c r="C233" i="10"/>
  <c r="C237" i="10"/>
  <c r="C241" i="10"/>
  <c r="C245" i="10"/>
  <c r="C249" i="10"/>
  <c r="C253" i="10"/>
  <c r="C257" i="10"/>
  <c r="C261" i="10"/>
  <c r="C265" i="10"/>
  <c r="C269" i="10"/>
  <c r="C273" i="10"/>
  <c r="C277" i="10"/>
  <c r="C142" i="10"/>
  <c r="C146" i="10"/>
  <c r="C150" i="10"/>
  <c r="C154" i="10"/>
  <c r="C158" i="10"/>
  <c r="C162" i="10"/>
  <c r="C166" i="10"/>
  <c r="C170" i="10"/>
  <c r="C174" i="10"/>
  <c r="C178" i="10"/>
  <c r="C182" i="10"/>
  <c r="C186" i="10"/>
  <c r="C190" i="10"/>
  <c r="C194" i="10"/>
  <c r="C198" i="10"/>
  <c r="C202" i="10"/>
  <c r="C206" i="10"/>
  <c r="C210" i="10"/>
  <c r="C214" i="10"/>
  <c r="C218" i="10"/>
  <c r="C222" i="10"/>
  <c r="C226" i="10"/>
  <c r="C230" i="10"/>
  <c r="C234" i="10"/>
  <c r="C238" i="10"/>
  <c r="C242" i="10"/>
  <c r="C246" i="10"/>
  <c r="C250" i="10"/>
  <c r="C254" i="10"/>
  <c r="C258" i="10"/>
  <c r="C262" i="10"/>
  <c r="C266" i="10"/>
  <c r="C270" i="10"/>
  <c r="C274" i="10"/>
  <c r="C278" i="10"/>
  <c r="C143" i="10"/>
  <c r="C151" i="10"/>
  <c r="C159" i="10"/>
  <c r="C167" i="10"/>
  <c r="C175" i="10"/>
  <c r="C183" i="10"/>
  <c r="C191" i="10"/>
  <c r="C199" i="10"/>
  <c r="C207" i="10"/>
  <c r="C215" i="10"/>
  <c r="C223" i="10"/>
  <c r="C231" i="10"/>
  <c r="C239" i="10"/>
  <c r="C247" i="10"/>
  <c r="C255" i="10"/>
  <c r="C263" i="10"/>
  <c r="C271" i="10"/>
  <c r="C279" i="10"/>
  <c r="C155" i="10"/>
  <c r="C211" i="10"/>
  <c r="C227" i="10"/>
  <c r="C243" i="10"/>
  <c r="C259" i="10"/>
  <c r="C144" i="10"/>
  <c r="C152" i="10"/>
  <c r="C160" i="10"/>
  <c r="C168" i="10"/>
  <c r="C176" i="10"/>
  <c r="C184" i="10"/>
  <c r="C192" i="10"/>
  <c r="C200" i="10"/>
  <c r="C208" i="10"/>
  <c r="C216" i="10"/>
  <c r="C224" i="10"/>
  <c r="C232" i="10"/>
  <c r="C240" i="10"/>
  <c r="C248" i="10"/>
  <c r="C256" i="10"/>
  <c r="C264" i="10"/>
  <c r="C272" i="10"/>
  <c r="C147" i="10"/>
  <c r="C163" i="10"/>
  <c r="C171" i="10"/>
  <c r="C179" i="10"/>
  <c r="C187" i="10"/>
  <c r="C195" i="10"/>
  <c r="C203" i="10"/>
  <c r="C219" i="10"/>
  <c r="C235" i="10"/>
  <c r="C251" i="10"/>
  <c r="C267" i="10"/>
  <c r="C275" i="10"/>
  <c r="C148" i="10"/>
  <c r="C156" i="10"/>
  <c r="C164" i="10"/>
  <c r="C172" i="10"/>
  <c r="C180" i="10"/>
  <c r="C188" i="10"/>
  <c r="C196" i="10"/>
  <c r="C204" i="10"/>
  <c r="C212" i="10"/>
  <c r="C220" i="10"/>
  <c r="C228" i="10"/>
  <c r="C236" i="10"/>
  <c r="C244" i="10"/>
  <c r="C252" i="10"/>
  <c r="C260" i="10"/>
  <c r="C268" i="10"/>
  <c r="C276" i="10"/>
  <c r="D276" i="10"/>
  <c r="D260" i="10"/>
  <c r="E244" i="10"/>
  <c r="E228" i="10"/>
  <c r="E212" i="10"/>
  <c r="E196" i="10"/>
  <c r="E180" i="10"/>
  <c r="E164" i="10"/>
  <c r="E148" i="10"/>
  <c r="D267" i="10"/>
  <c r="E235" i="10"/>
  <c r="E203" i="10"/>
  <c r="E187" i="10"/>
  <c r="E171" i="10"/>
  <c r="E147" i="10"/>
  <c r="E264" i="10"/>
  <c r="E248" i="10"/>
  <c r="E232" i="10"/>
  <c r="E216" i="10"/>
  <c r="E200" i="10"/>
  <c r="E184" i="10"/>
  <c r="E168" i="10"/>
  <c r="E152" i="10"/>
  <c r="D259" i="10"/>
  <c r="E227" i="10"/>
  <c r="E155" i="10"/>
  <c r="D271" i="10"/>
  <c r="D255" i="10"/>
  <c r="E239" i="10"/>
  <c r="E223" i="10"/>
  <c r="E207" i="10"/>
  <c r="E191" i="10"/>
  <c r="E175" i="10"/>
  <c r="E159" i="10"/>
  <c r="E143" i="10"/>
  <c r="D274" i="10"/>
  <c r="D266" i="10"/>
  <c r="D258" i="10"/>
  <c r="D250" i="10"/>
  <c r="D242" i="10"/>
  <c r="D234" i="10"/>
  <c r="D226" i="10"/>
  <c r="D218" i="10"/>
  <c r="D210" i="10"/>
  <c r="D202" i="10"/>
  <c r="D194" i="10"/>
  <c r="D186" i="10"/>
  <c r="D178" i="10"/>
  <c r="D170" i="10"/>
  <c r="D162" i="10"/>
  <c r="D154" i="10"/>
  <c r="D146" i="10"/>
  <c r="D277" i="10"/>
  <c r="D269" i="10"/>
  <c r="D261" i="10"/>
  <c r="D253" i="10"/>
  <c r="D245" i="10"/>
  <c r="E237" i="10"/>
  <c r="D229" i="10"/>
  <c r="E221" i="10"/>
  <c r="D213" i="10"/>
  <c r="E205" i="10"/>
  <c r="D197" i="10"/>
  <c r="E189" i="10"/>
  <c r="D181" i="10"/>
  <c r="E173" i="10"/>
  <c r="E165" i="10"/>
  <c r="D157" i="10"/>
  <c r="E149" i="10"/>
  <c r="E141" i="10"/>
  <c r="D174" i="10"/>
  <c r="D273" i="10"/>
  <c r="E233" i="10"/>
  <c r="E209" i="10"/>
  <c r="E185" i="10"/>
  <c r="E161" i="10"/>
  <c r="D176" i="10"/>
  <c r="D167" i="10"/>
  <c r="E262" i="10"/>
  <c r="E238" i="10"/>
  <c r="E214" i="10"/>
  <c r="E190" i="10"/>
  <c r="E166" i="10"/>
  <c r="E142" i="10"/>
  <c r="D241" i="10"/>
  <c r="D217" i="10"/>
  <c r="D193" i="10"/>
  <c r="D169" i="10"/>
  <c r="D145" i="10"/>
  <c r="E276" i="10"/>
  <c r="E260" i="10"/>
  <c r="D244" i="10"/>
  <c r="D228" i="10"/>
  <c r="D212" i="10"/>
  <c r="D196" i="10"/>
  <c r="D180" i="10"/>
  <c r="D164" i="10"/>
  <c r="D148" i="10"/>
  <c r="E267" i="10"/>
  <c r="D235" i="10"/>
  <c r="D203" i="10"/>
  <c r="D187" i="10"/>
  <c r="D171" i="10"/>
  <c r="D147" i="10"/>
  <c r="D264" i="10"/>
  <c r="D248" i="10"/>
  <c r="D232" i="10"/>
  <c r="D216" i="10"/>
  <c r="D200" i="10"/>
  <c r="D184" i="10"/>
  <c r="D168" i="10"/>
  <c r="D152" i="10"/>
  <c r="E259" i="10"/>
  <c r="D227" i="10"/>
  <c r="D155" i="10"/>
  <c r="E271" i="10"/>
  <c r="E255" i="10"/>
  <c r="D239" i="10"/>
  <c r="D223" i="10"/>
  <c r="D207" i="10"/>
  <c r="D191" i="10"/>
  <c r="D175" i="10"/>
  <c r="D159" i="10"/>
  <c r="D143" i="10"/>
  <c r="E274" i="10"/>
  <c r="E266" i="10"/>
  <c r="E258" i="10"/>
  <c r="E250" i="10"/>
  <c r="E242" i="10"/>
  <c r="E234" i="10"/>
  <c r="E226" i="10"/>
  <c r="E218" i="10"/>
  <c r="E210" i="10"/>
  <c r="E202" i="10"/>
  <c r="E194" i="10"/>
  <c r="E186" i="10"/>
  <c r="E178" i="10"/>
  <c r="E170" i="10"/>
  <c r="E162" i="10"/>
  <c r="E154" i="10"/>
  <c r="E146" i="10"/>
  <c r="E277" i="10"/>
  <c r="E269" i="10"/>
  <c r="E261" i="10"/>
  <c r="E253" i="10"/>
  <c r="E245" i="10"/>
  <c r="D237" i="10"/>
  <c r="E229" i="10"/>
  <c r="D221" i="10"/>
  <c r="E213" i="10"/>
  <c r="D205" i="10"/>
  <c r="E197" i="10"/>
  <c r="D189" i="10"/>
  <c r="E181" i="10"/>
  <c r="D173" i="10"/>
  <c r="D165" i="10"/>
  <c r="E157" i="10"/>
  <c r="D149" i="10"/>
  <c r="D141" i="10"/>
  <c r="E220" i="10"/>
  <c r="E172" i="10"/>
  <c r="D275" i="10"/>
  <c r="E219" i="10"/>
  <c r="E179" i="10"/>
  <c r="D272" i="10"/>
  <c r="E240" i="10"/>
  <c r="E208" i="10"/>
  <c r="E176" i="10"/>
  <c r="E144" i="10"/>
  <c r="E211" i="10"/>
  <c r="D263" i="10"/>
  <c r="E231" i="10"/>
  <c r="E199" i="10"/>
  <c r="E167" i="10"/>
  <c r="D278" i="10"/>
  <c r="D270" i="10"/>
  <c r="D254" i="10"/>
  <c r="D238" i="10"/>
  <c r="D222" i="10"/>
  <c r="D198" i="10"/>
  <c r="D190" i="10"/>
  <c r="D166" i="10"/>
  <c r="D142" i="10"/>
  <c r="D257" i="10"/>
  <c r="E241" i="10"/>
  <c r="E225" i="10"/>
  <c r="E193" i="10"/>
  <c r="E169" i="10"/>
  <c r="E145" i="10"/>
  <c r="D252" i="10"/>
  <c r="D220" i="10"/>
  <c r="D188" i="10"/>
  <c r="D156" i="10"/>
  <c r="E251" i="10"/>
  <c r="D195" i="10"/>
  <c r="D163" i="10"/>
  <c r="E256" i="10"/>
  <c r="D224" i="10"/>
  <c r="D192" i="10"/>
  <c r="D144" i="10"/>
  <c r="D211" i="10"/>
  <c r="E263" i="10"/>
  <c r="D231" i="10"/>
  <c r="D199" i="10"/>
  <c r="D151" i="10"/>
  <c r="E270" i="10"/>
  <c r="E246" i="10"/>
  <c r="E230" i="10"/>
  <c r="E206" i="10"/>
  <c r="E174" i="10"/>
  <c r="E150" i="10"/>
  <c r="E265" i="10"/>
  <c r="E257" i="10"/>
  <c r="D233" i="10"/>
  <c r="D209" i="10"/>
  <c r="D185" i="10"/>
  <c r="D153" i="10"/>
  <c r="D268" i="10"/>
  <c r="E252" i="10"/>
  <c r="E236" i="10"/>
  <c r="E204" i="10"/>
  <c r="E188" i="10"/>
  <c r="E156" i="10"/>
  <c r="D251" i="10"/>
  <c r="E195" i="10"/>
  <c r="E163" i="10"/>
  <c r="D256" i="10"/>
  <c r="E224" i="10"/>
  <c r="E192" i="10"/>
  <c r="E160" i="10"/>
  <c r="E243" i="10"/>
  <c r="D279" i="10"/>
  <c r="E247" i="10"/>
  <c r="E215" i="10"/>
  <c r="E183" i="10"/>
  <c r="E151" i="10"/>
  <c r="D262" i="10"/>
  <c r="D246" i="10"/>
  <c r="D230" i="10"/>
  <c r="D214" i="10"/>
  <c r="D206" i="10"/>
  <c r="D182" i="10"/>
  <c r="D158" i="10"/>
  <c r="D150" i="10"/>
  <c r="D265" i="10"/>
  <c r="E249" i="10"/>
  <c r="E217" i="10"/>
  <c r="E201" i="10"/>
  <c r="E177" i="10"/>
  <c r="E153" i="10"/>
  <c r="E268" i="10"/>
  <c r="D236" i="10"/>
  <c r="D204" i="10"/>
  <c r="D172" i="10"/>
  <c r="E275" i="10"/>
  <c r="D219" i="10"/>
  <c r="D179" i="10"/>
  <c r="E272" i="10"/>
  <c r="D240" i="10"/>
  <c r="D208" i="10"/>
  <c r="D160" i="10"/>
  <c r="D243" i="10"/>
  <c r="E279" i="10"/>
  <c r="D247" i="10"/>
  <c r="D215" i="10"/>
  <c r="D183" i="10"/>
  <c r="E278" i="10"/>
  <c r="E254" i="10"/>
  <c r="E222" i="10"/>
  <c r="E198" i="10"/>
  <c r="E182" i="10"/>
  <c r="E158" i="10"/>
  <c r="E273" i="10"/>
  <c r="D249" i="10"/>
  <c r="D225" i="10"/>
  <c r="D201" i="10"/>
  <c r="D177" i="10"/>
  <c r="D161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139C93F-CF72-464F-BC2F-35DFD6FE6677}" keepAlive="1" name="Query - Coffee dataset" description="Connection to the 'Coffee dataset' query in the workbook." type="5" refreshedVersion="8" background="1" saveData="1">
    <dbPr connection="Provider=Microsoft.Mashup.OleDb.1;Data Source=$Workbook$;Location=&quot;Coffee dataset&quot;;Extended Properties=&quot;&quot;" command="SELECT * FROM [Coffee dataset]"/>
  </connection>
</connections>
</file>

<file path=xl/sharedStrings.xml><?xml version="1.0" encoding="utf-8"?>
<sst xmlns="http://schemas.openxmlformats.org/spreadsheetml/2006/main" count="4931" uniqueCount="1393">
  <si>
    <t>Sales_ID</t>
  </si>
  <si>
    <t>Time</t>
  </si>
  <si>
    <t>Time_period</t>
  </si>
  <si>
    <t>Payment_method</t>
  </si>
  <si>
    <t>Card_ID</t>
  </si>
  <si>
    <t>Sales</t>
  </si>
  <si>
    <t>Coffee_name</t>
  </si>
  <si>
    <t>Date</t>
  </si>
  <si>
    <t>20012</t>
  </si>
  <si>
    <t>Morning</t>
  </si>
  <si>
    <t>Card</t>
  </si>
  <si>
    <t>0001</t>
  </si>
  <si>
    <t>Latte</t>
  </si>
  <si>
    <t>20013</t>
  </si>
  <si>
    <t>Afternoon</t>
  </si>
  <si>
    <t>0002</t>
  </si>
  <si>
    <t>Hot Chocolate</t>
  </si>
  <si>
    <t>20014</t>
  </si>
  <si>
    <t>20015</t>
  </si>
  <si>
    <t>0003</t>
  </si>
  <si>
    <t>Americano</t>
  </si>
  <si>
    <t>20016</t>
  </si>
  <si>
    <t>0004</t>
  </si>
  <si>
    <t>20017</t>
  </si>
  <si>
    <t>0005</t>
  </si>
  <si>
    <t>Americano With Milk</t>
  </si>
  <si>
    <t>20018</t>
  </si>
  <si>
    <t>0006</t>
  </si>
  <si>
    <t>20019</t>
  </si>
  <si>
    <t>0007</t>
  </si>
  <si>
    <t>20020</t>
  </si>
  <si>
    <t>0008</t>
  </si>
  <si>
    <t>Cocoa</t>
  </si>
  <si>
    <t>20021</t>
  </si>
  <si>
    <t>20022</t>
  </si>
  <si>
    <t>0009</t>
  </si>
  <si>
    <t>20023</t>
  </si>
  <si>
    <t>0010</t>
  </si>
  <si>
    <t>20024</t>
  </si>
  <si>
    <t>Cash</t>
  </si>
  <si>
    <t>20025</t>
  </si>
  <si>
    <t>0011</t>
  </si>
  <si>
    <t>20026</t>
  </si>
  <si>
    <t>0012</t>
  </si>
  <si>
    <t>20027</t>
  </si>
  <si>
    <t>0013</t>
  </si>
  <si>
    <t>20028</t>
  </si>
  <si>
    <t>0014</t>
  </si>
  <si>
    <t>20029</t>
  </si>
  <si>
    <t>20030</t>
  </si>
  <si>
    <t>20031</t>
  </si>
  <si>
    <t>0015</t>
  </si>
  <si>
    <t>20032</t>
  </si>
  <si>
    <t>0016</t>
  </si>
  <si>
    <t>Cortado</t>
  </si>
  <si>
    <t>20033</t>
  </si>
  <si>
    <t>20034</t>
  </si>
  <si>
    <t>0017</t>
  </si>
  <si>
    <t>20035</t>
  </si>
  <si>
    <t>0018</t>
  </si>
  <si>
    <t>20036</t>
  </si>
  <si>
    <t>0019</t>
  </si>
  <si>
    <t>20037</t>
  </si>
  <si>
    <t>0020</t>
  </si>
  <si>
    <t>20038</t>
  </si>
  <si>
    <t>20039</t>
  </si>
  <si>
    <t>20040</t>
  </si>
  <si>
    <t>20041</t>
  </si>
  <si>
    <t>0021</t>
  </si>
  <si>
    <t>20042</t>
  </si>
  <si>
    <t>20043</t>
  </si>
  <si>
    <t>0022</t>
  </si>
  <si>
    <t>Espresso</t>
  </si>
  <si>
    <t>20044</t>
  </si>
  <si>
    <t>20045</t>
  </si>
  <si>
    <t>0023</t>
  </si>
  <si>
    <t>20046</t>
  </si>
  <si>
    <t>0024</t>
  </si>
  <si>
    <t>20047</t>
  </si>
  <si>
    <t>0025</t>
  </si>
  <si>
    <t>20048</t>
  </si>
  <si>
    <t>0026</t>
  </si>
  <si>
    <t>20049</t>
  </si>
  <si>
    <t>0027</t>
  </si>
  <si>
    <t>20050</t>
  </si>
  <si>
    <t>20051</t>
  </si>
  <si>
    <t>0028</t>
  </si>
  <si>
    <t>20052</t>
  </si>
  <si>
    <t>20053</t>
  </si>
  <si>
    <t>20054</t>
  </si>
  <si>
    <t>20055</t>
  </si>
  <si>
    <t>20056</t>
  </si>
  <si>
    <t>0029</t>
  </si>
  <si>
    <t>Cappuccino</t>
  </si>
  <si>
    <t>20057</t>
  </si>
  <si>
    <t>20058</t>
  </si>
  <si>
    <t>20059</t>
  </si>
  <si>
    <t>0030</t>
  </si>
  <si>
    <t>20060</t>
  </si>
  <si>
    <t>0031</t>
  </si>
  <si>
    <t>20061</t>
  </si>
  <si>
    <t>20062</t>
  </si>
  <si>
    <t>0032</t>
  </si>
  <si>
    <t>20063</t>
  </si>
  <si>
    <t>0033</t>
  </si>
  <si>
    <t>20064</t>
  </si>
  <si>
    <t>20065</t>
  </si>
  <si>
    <t>0034</t>
  </si>
  <si>
    <t>20066</t>
  </si>
  <si>
    <t>0035</t>
  </si>
  <si>
    <t>20067</t>
  </si>
  <si>
    <t>20068</t>
  </si>
  <si>
    <t>20069</t>
  </si>
  <si>
    <t>20070</t>
  </si>
  <si>
    <t>0036</t>
  </si>
  <si>
    <t>20071</t>
  </si>
  <si>
    <t>0037</t>
  </si>
  <si>
    <t>20072</t>
  </si>
  <si>
    <t>20073</t>
  </si>
  <si>
    <t>0038</t>
  </si>
  <si>
    <t>20074</t>
  </si>
  <si>
    <t>0039</t>
  </si>
  <si>
    <t>20075</t>
  </si>
  <si>
    <t>20076</t>
  </si>
  <si>
    <t>0040</t>
  </si>
  <si>
    <t>20077</t>
  </si>
  <si>
    <t>20078</t>
  </si>
  <si>
    <t>0041</t>
  </si>
  <si>
    <t>20079</t>
  </si>
  <si>
    <t>0042</t>
  </si>
  <si>
    <t>20080</t>
  </si>
  <si>
    <t>0043</t>
  </si>
  <si>
    <t>20081</t>
  </si>
  <si>
    <t>20082</t>
  </si>
  <si>
    <t>20083</t>
  </si>
  <si>
    <t>0044</t>
  </si>
  <si>
    <t>20084</t>
  </si>
  <si>
    <t>20085</t>
  </si>
  <si>
    <t>20086</t>
  </si>
  <si>
    <t>20087</t>
  </si>
  <si>
    <t>20088</t>
  </si>
  <si>
    <t>20089</t>
  </si>
  <si>
    <t>0045</t>
  </si>
  <si>
    <t>20090</t>
  </si>
  <si>
    <t>20091</t>
  </si>
  <si>
    <t>0046</t>
  </si>
  <si>
    <t>20092</t>
  </si>
  <si>
    <t>20093</t>
  </si>
  <si>
    <t>20094</t>
  </si>
  <si>
    <t>20095</t>
  </si>
  <si>
    <t>20096</t>
  </si>
  <si>
    <t>20097</t>
  </si>
  <si>
    <t>20098</t>
  </si>
  <si>
    <t>0047</t>
  </si>
  <si>
    <t>20099</t>
  </si>
  <si>
    <t>20100</t>
  </si>
  <si>
    <t>0048</t>
  </si>
  <si>
    <t>20101</t>
  </si>
  <si>
    <t>20102</t>
  </si>
  <si>
    <t>20103</t>
  </si>
  <si>
    <t>20104</t>
  </si>
  <si>
    <t>0049</t>
  </si>
  <si>
    <t>20105</t>
  </si>
  <si>
    <t>20106</t>
  </si>
  <si>
    <t>20107</t>
  </si>
  <si>
    <t>0050</t>
  </si>
  <si>
    <t>20108</t>
  </si>
  <si>
    <t>20109</t>
  </si>
  <si>
    <t>20110</t>
  </si>
  <si>
    <t>0051</t>
  </si>
  <si>
    <t>20111</t>
  </si>
  <si>
    <t>20112</t>
  </si>
  <si>
    <t>20113</t>
  </si>
  <si>
    <t>0052</t>
  </si>
  <si>
    <t>20114</t>
  </si>
  <si>
    <t>0053</t>
  </si>
  <si>
    <t>20115</t>
  </si>
  <si>
    <t>20116</t>
  </si>
  <si>
    <t>0054</t>
  </si>
  <si>
    <t>20117</t>
  </si>
  <si>
    <t>20118</t>
  </si>
  <si>
    <t>0055</t>
  </si>
  <si>
    <t>20119</t>
  </si>
  <si>
    <t>20120</t>
  </si>
  <si>
    <t>20121</t>
  </si>
  <si>
    <t>20122</t>
  </si>
  <si>
    <t>0056</t>
  </si>
  <si>
    <t>20123</t>
  </si>
  <si>
    <t>0057</t>
  </si>
  <si>
    <t>20124</t>
  </si>
  <si>
    <t>0058</t>
  </si>
  <si>
    <t>20125</t>
  </si>
  <si>
    <t>0059</t>
  </si>
  <si>
    <t>20126</t>
  </si>
  <si>
    <t>20127</t>
  </si>
  <si>
    <t>20128</t>
  </si>
  <si>
    <t>20129</t>
  </si>
  <si>
    <t>20130</t>
  </si>
  <si>
    <t>0060</t>
  </si>
  <si>
    <t>20131</t>
  </si>
  <si>
    <t>20132</t>
  </si>
  <si>
    <t>0061</t>
  </si>
  <si>
    <t>20133</t>
  </si>
  <si>
    <t>20134</t>
  </si>
  <si>
    <t>20135</t>
  </si>
  <si>
    <t>20136</t>
  </si>
  <si>
    <t>20137</t>
  </si>
  <si>
    <t>0062</t>
  </si>
  <si>
    <t>20138</t>
  </si>
  <si>
    <t>20139</t>
  </si>
  <si>
    <t>0063</t>
  </si>
  <si>
    <t>20140</t>
  </si>
  <si>
    <t>0064</t>
  </si>
  <si>
    <t>20141</t>
  </si>
  <si>
    <t>20142</t>
  </si>
  <si>
    <t>20143</t>
  </si>
  <si>
    <t>20144</t>
  </si>
  <si>
    <t>20145</t>
  </si>
  <si>
    <t>0065</t>
  </si>
  <si>
    <t>20146</t>
  </si>
  <si>
    <t>20147</t>
  </si>
  <si>
    <t>20148</t>
  </si>
  <si>
    <t>0066</t>
  </si>
  <si>
    <t>20149</t>
  </si>
  <si>
    <t>20150</t>
  </si>
  <si>
    <t>20151</t>
  </si>
  <si>
    <t>20152</t>
  </si>
  <si>
    <t>20153</t>
  </si>
  <si>
    <t>0067</t>
  </si>
  <si>
    <t>20154</t>
  </si>
  <si>
    <t>20155</t>
  </si>
  <si>
    <t>0068</t>
  </si>
  <si>
    <t>20156</t>
  </si>
  <si>
    <t>20157</t>
  </si>
  <si>
    <t>20158</t>
  </si>
  <si>
    <t>20159</t>
  </si>
  <si>
    <t>20160</t>
  </si>
  <si>
    <t>20161</t>
  </si>
  <si>
    <t>0069</t>
  </si>
  <si>
    <t>20162</t>
  </si>
  <si>
    <t>0070</t>
  </si>
  <si>
    <t>20163</t>
  </si>
  <si>
    <t>0071</t>
  </si>
  <si>
    <t>20164</t>
  </si>
  <si>
    <t>20165</t>
  </si>
  <si>
    <t>20166</t>
  </si>
  <si>
    <t>20167</t>
  </si>
  <si>
    <t>20168</t>
  </si>
  <si>
    <t>0072</t>
  </si>
  <si>
    <t>20169</t>
  </si>
  <si>
    <t>0073</t>
  </si>
  <si>
    <t>20170</t>
  </si>
  <si>
    <t>0074</t>
  </si>
  <si>
    <t>20171</t>
  </si>
  <si>
    <t>20172</t>
  </si>
  <si>
    <t>0075</t>
  </si>
  <si>
    <t>20173</t>
  </si>
  <si>
    <t>0076</t>
  </si>
  <si>
    <t>20174</t>
  </si>
  <si>
    <t>20175</t>
  </si>
  <si>
    <t>20176</t>
  </si>
  <si>
    <t>20177</t>
  </si>
  <si>
    <t>0077</t>
  </si>
  <si>
    <t>20178</t>
  </si>
  <si>
    <t>20179</t>
  </si>
  <si>
    <t>20180</t>
  </si>
  <si>
    <t>0078</t>
  </si>
  <si>
    <t>20181</t>
  </si>
  <si>
    <t>20182</t>
  </si>
  <si>
    <t>20183</t>
  </si>
  <si>
    <t>0079</t>
  </si>
  <si>
    <t>20184</t>
  </si>
  <si>
    <t>20185</t>
  </si>
  <si>
    <t>20186</t>
  </si>
  <si>
    <t>0080</t>
  </si>
  <si>
    <t>20187</t>
  </si>
  <si>
    <t>20188</t>
  </si>
  <si>
    <t>20189</t>
  </si>
  <si>
    <t>20190</t>
  </si>
  <si>
    <t>20191</t>
  </si>
  <si>
    <t>20192</t>
  </si>
  <si>
    <t>0081</t>
  </si>
  <si>
    <t>20193</t>
  </si>
  <si>
    <t>20194</t>
  </si>
  <si>
    <t>20195</t>
  </si>
  <si>
    <t>20196</t>
  </si>
  <si>
    <t>20197</t>
  </si>
  <si>
    <t>0082</t>
  </si>
  <si>
    <t>20198</t>
  </si>
  <si>
    <t>0083</t>
  </si>
  <si>
    <t>20199</t>
  </si>
  <si>
    <t>20200</t>
  </si>
  <si>
    <t>20201</t>
  </si>
  <si>
    <t>0084</t>
  </si>
  <si>
    <t>20202</t>
  </si>
  <si>
    <t>20203</t>
  </si>
  <si>
    <t>0085</t>
  </si>
  <si>
    <t>20204</t>
  </si>
  <si>
    <t>20205</t>
  </si>
  <si>
    <t>20206</t>
  </si>
  <si>
    <t>0086</t>
  </si>
  <si>
    <t>20207</t>
  </si>
  <si>
    <t>0087</t>
  </si>
  <si>
    <t>20208</t>
  </si>
  <si>
    <t>0088</t>
  </si>
  <si>
    <t>20209</t>
  </si>
  <si>
    <t>20210</t>
  </si>
  <si>
    <t>20211</t>
  </si>
  <si>
    <t>20212</t>
  </si>
  <si>
    <t>20213</t>
  </si>
  <si>
    <t>20214</t>
  </si>
  <si>
    <t>20215</t>
  </si>
  <si>
    <t>20216</t>
  </si>
  <si>
    <t>0089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</si>
  <si>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</si>
  <si>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</si>
  <si>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</si>
  <si>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</si>
  <si>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</si>
  <si>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</si>
  <si>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</si>
  <si>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</si>
  <si>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0090</t>
  </si>
  <si>
    <t>20225</t>
  </si>
  <si>
    <t>20226</t>
  </si>
  <si>
    <t>20227</t>
  </si>
  <si>
    <t>20228</t>
  </si>
  <si>
    <t>20229</t>
  </si>
  <si>
    <t>20230</t>
  </si>
  <si>
    <t>20231</t>
  </si>
  <si>
    <t>20232</t>
  </si>
  <si>
    <t>20233</t>
  </si>
  <si>
    <t>0091</t>
  </si>
  <si>
    <t>20234</t>
  </si>
  <si>
    <t>0092</t>
  </si>
  <si>
    <t>20235</t>
  </si>
  <si>
    <t>0093</t>
  </si>
  <si>
    <t>20236</t>
  </si>
  <si>
    <t>0094</t>
  </si>
  <si>
    <t>20237</t>
  </si>
  <si>
    <t>20238</t>
  </si>
  <si>
    <t>0095</t>
  </si>
  <si>
    <t>20239</t>
  </si>
  <si>
    <t>20240</t>
  </si>
  <si>
    <t>0096</t>
  </si>
  <si>
    <t>20241</t>
  </si>
  <si>
    <t>0097</t>
  </si>
  <si>
    <t>20242</t>
  </si>
  <si>
    <t>0098</t>
  </si>
  <si>
    <t>20243</t>
  </si>
  <si>
    <t>20244</t>
  </si>
  <si>
    <t>20245</t>
  </si>
  <si>
    <t>20246</t>
  </si>
  <si>
    <t>20247</t>
  </si>
  <si>
    <t>20248</t>
  </si>
  <si>
    <t>20249</t>
  </si>
  <si>
    <t>0099</t>
  </si>
  <si>
    <t>20250</t>
  </si>
  <si>
    <t>20251</t>
  </si>
  <si>
    <t>20252</t>
  </si>
  <si>
    <t>20253</t>
  </si>
  <si>
    <t>20254</t>
  </si>
  <si>
    <t>20255</t>
  </si>
  <si>
    <t>20256</t>
  </si>
  <si>
    <t>0100</t>
  </si>
  <si>
    <t>20257</t>
  </si>
  <si>
    <t>20258</t>
  </si>
  <si>
    <t>0101</t>
  </si>
  <si>
    <t>20259</t>
  </si>
  <si>
    <t>20260</t>
  </si>
  <si>
    <t>0102</t>
  </si>
  <si>
    <t>20261</t>
  </si>
  <si>
    <t>0103</t>
  </si>
  <si>
    <t>20262</t>
  </si>
  <si>
    <t>20263</t>
  </si>
  <si>
    <t>0104</t>
  </si>
  <si>
    <t>20264</t>
  </si>
  <si>
    <t>20265</t>
  </si>
  <si>
    <t>20266</t>
  </si>
  <si>
    <t>20267</t>
  </si>
  <si>
    <t>0105</t>
  </si>
  <si>
    <t>20268</t>
  </si>
  <si>
    <t>20269</t>
  </si>
  <si>
    <t>0106</t>
  </si>
  <si>
    <t>20270</t>
  </si>
  <si>
    <t>20271</t>
  </si>
  <si>
    <t>20272</t>
  </si>
  <si>
    <t>20273</t>
  </si>
  <si>
    <t>0107</t>
  </si>
  <si>
    <t>20274</t>
  </si>
  <si>
    <t>20275</t>
  </si>
  <si>
    <t>20276</t>
  </si>
  <si>
    <t>20277</t>
  </si>
  <si>
    <t>0108</t>
  </si>
  <si>
    <t>20278</t>
  </si>
  <si>
    <t>20279</t>
  </si>
  <si>
    <t>0109</t>
  </si>
  <si>
    <t>20280</t>
  </si>
  <si>
    <t>0110</t>
  </si>
  <si>
    <t>20281</t>
  </si>
  <si>
    <t>20282</t>
  </si>
  <si>
    <t>20283</t>
  </si>
  <si>
    <t>20284</t>
  </si>
  <si>
    <t>20285</t>
  </si>
  <si>
    <t>20286</t>
  </si>
  <si>
    <t>20287</t>
  </si>
  <si>
    <t>20288</t>
  </si>
  <si>
    <t>20289</t>
  </si>
  <si>
    <t>20290</t>
  </si>
  <si>
    <t>20291</t>
  </si>
  <si>
    <t>0111</t>
  </si>
  <si>
    <t>20292</t>
  </si>
  <si>
    <t>20293</t>
  </si>
  <si>
    <t>0112</t>
  </si>
  <si>
    <t>20294</t>
  </si>
  <si>
    <t>20295</t>
  </si>
  <si>
    <t>20296</t>
  </si>
  <si>
    <t>0113</t>
  </si>
  <si>
    <t>20297</t>
  </si>
  <si>
    <t>20298</t>
  </si>
  <si>
    <t>20299</t>
  </si>
  <si>
    <t>20300</t>
  </si>
  <si>
    <t>0114</t>
  </si>
  <si>
    <t>20301</t>
  </si>
  <si>
    <t>20302</t>
  </si>
  <si>
    <t>20303</t>
  </si>
  <si>
    <t>20304</t>
  </si>
  <si>
    <t>20305</t>
  </si>
  <si>
    <t>20306</t>
  </si>
  <si>
    <t>20307</t>
  </si>
  <si>
    <t>0115</t>
  </si>
  <si>
    <t>20308</t>
  </si>
  <si>
    <t>20309</t>
  </si>
  <si>
    <t>20310</t>
  </si>
  <si>
    <t>20311</t>
  </si>
  <si>
    <t>20312</t>
  </si>
  <si>
    <t>20313</t>
  </si>
  <si>
    <t>20314</t>
  </si>
  <si>
    <t>0116</t>
  </si>
  <si>
    <t>20315</t>
  </si>
  <si>
    <t>0117</t>
  </si>
  <si>
    <t>20316</t>
  </si>
  <si>
    <t>20317</t>
  </si>
  <si>
    <t>0118</t>
  </si>
  <si>
    <t>20318</t>
  </si>
  <si>
    <t>20319</t>
  </si>
  <si>
    <t>20320</t>
  </si>
  <si>
    <t>20321</t>
  </si>
  <si>
    <t>20322</t>
  </si>
  <si>
    <t>0119</t>
  </si>
  <si>
    <t>20323</t>
  </si>
  <si>
    <t>20324</t>
  </si>
  <si>
    <t>0120</t>
  </si>
  <si>
    <t>20325</t>
  </si>
  <si>
    <t>20326</t>
  </si>
  <si>
    <t>0121</t>
  </si>
  <si>
    <t>20327</t>
  </si>
  <si>
    <t>20328</t>
  </si>
  <si>
    <t>20329</t>
  </si>
  <si>
    <t>0122</t>
  </si>
  <si>
    <t>20330</t>
  </si>
  <si>
    <t>20331</t>
  </si>
  <si>
    <t>0123</t>
  </si>
  <si>
    <t>20332</t>
  </si>
  <si>
    <t>20333</t>
  </si>
  <si>
    <t>20334</t>
  </si>
  <si>
    <t>20335</t>
  </si>
  <si>
    <t>20336</t>
  </si>
  <si>
    <t>20337</t>
  </si>
  <si>
    <t>20338</t>
  </si>
  <si>
    <t>20339</t>
  </si>
  <si>
    <t>20340</t>
  </si>
  <si>
    <t>0124</t>
  </si>
  <si>
    <t>20341</t>
  </si>
  <si>
    <t>20342</t>
  </si>
  <si>
    <t>20343</t>
  </si>
  <si>
    <t>20344</t>
  </si>
  <si>
    <t>20345</t>
  </si>
  <si>
    <t>0125</t>
  </si>
  <si>
    <t>20346</t>
  </si>
  <si>
    <t>20347</t>
  </si>
  <si>
    <t>20348</t>
  </si>
  <si>
    <t>20349</t>
  </si>
  <si>
    <t>20350</t>
  </si>
  <si>
    <t>20351</t>
  </si>
  <si>
    <t>20352</t>
  </si>
  <si>
    <t>20353</t>
  </si>
  <si>
    <t>0126</t>
  </si>
  <si>
    <t>20354</t>
  </si>
  <si>
    <t>20355</t>
  </si>
  <si>
    <t>0127</t>
  </si>
  <si>
    <t>20356</t>
  </si>
  <si>
    <t>20357</t>
  </si>
  <si>
    <t>0128</t>
  </si>
  <si>
    <t>20358</t>
  </si>
  <si>
    <t>20359</t>
  </si>
  <si>
    <t>20360</t>
  </si>
  <si>
    <t>20361</t>
  </si>
  <si>
    <t>20362</t>
  </si>
  <si>
    <t>0129</t>
  </si>
  <si>
    <t>20363</t>
  </si>
  <si>
    <t>20364</t>
  </si>
  <si>
    <t>20365</t>
  </si>
  <si>
    <t>20366</t>
  </si>
  <si>
    <t>20367</t>
  </si>
  <si>
    <t>20368</t>
  </si>
  <si>
    <t>20369</t>
  </si>
  <si>
    <t>0130</t>
  </si>
  <si>
    <t>20370</t>
  </si>
  <si>
    <t>20371</t>
  </si>
  <si>
    <t>20372</t>
  </si>
  <si>
    <t>0131</t>
  </si>
  <si>
    <t>20373</t>
  </si>
  <si>
    <t>0132</t>
  </si>
  <si>
    <t>20374</t>
  </si>
  <si>
    <t>0133</t>
  </si>
  <si>
    <t>20375</t>
  </si>
  <si>
    <t>20376</t>
  </si>
  <si>
    <t>20377</t>
  </si>
  <si>
    <t>0134</t>
  </si>
  <si>
    <t>20378</t>
  </si>
  <si>
    <t>20379</t>
  </si>
  <si>
    <t>0135</t>
  </si>
  <si>
    <t>20380</t>
  </si>
  <si>
    <t>20381</t>
  </si>
  <si>
    <t>20382</t>
  </si>
  <si>
    <t>20383</t>
  </si>
  <si>
    <t>20384</t>
  </si>
  <si>
    <t>0136</t>
  </si>
  <si>
    <t>20385</t>
  </si>
  <si>
    <t>0137</t>
  </si>
  <si>
    <t>20386</t>
  </si>
  <si>
    <t>20387</t>
  </si>
  <si>
    <t>20388</t>
  </si>
  <si>
    <t>0138</t>
  </si>
  <si>
    <t>20389</t>
  </si>
  <si>
    <t>0139</t>
  </si>
  <si>
    <t>20390</t>
  </si>
  <si>
    <t>20391</t>
  </si>
  <si>
    <t>20392</t>
  </si>
  <si>
    <t>20393</t>
  </si>
  <si>
    <t>20394</t>
  </si>
  <si>
    <t>0140</t>
  </si>
  <si>
    <t>20395</t>
  </si>
  <si>
    <t>20396</t>
  </si>
  <si>
    <t>20397</t>
  </si>
  <si>
    <t>20398</t>
  </si>
  <si>
    <t>0141</t>
  </si>
  <si>
    <t>20399</t>
  </si>
  <si>
    <t>20400</t>
  </si>
  <si>
    <t>20401</t>
  </si>
  <si>
    <t>20402</t>
  </si>
  <si>
    <t>20403</t>
  </si>
  <si>
    <t>20404</t>
  </si>
  <si>
    <t>20405</t>
  </si>
  <si>
    <t>20406</t>
  </si>
  <si>
    <t>0142</t>
  </si>
  <si>
    <t>20407</t>
  </si>
  <si>
    <t>20408</t>
  </si>
  <si>
    <t>20409</t>
  </si>
  <si>
    <t>20410</t>
  </si>
  <si>
    <t>20411</t>
  </si>
  <si>
    <t>20412</t>
  </si>
  <si>
    <t>20413</t>
  </si>
  <si>
    <t>20414</t>
  </si>
  <si>
    <t>0143</t>
  </si>
  <si>
    <t>20415</t>
  </si>
  <si>
    <t>20416</t>
  </si>
  <si>
    <t>20417</t>
  </si>
  <si>
    <t>0144</t>
  </si>
  <si>
    <t>20418</t>
  </si>
  <si>
    <t>20419</t>
  </si>
  <si>
    <t>0145</t>
  </si>
  <si>
    <t>20420</t>
  </si>
  <si>
    <t>20421</t>
  </si>
  <si>
    <t>20422</t>
  </si>
  <si>
    <t>0146</t>
  </si>
  <si>
    <t>20423</t>
  </si>
  <si>
    <t>0147</t>
  </si>
  <si>
    <t>20424</t>
  </si>
  <si>
    <t>0148</t>
  </si>
  <si>
    <t>20425</t>
  </si>
  <si>
    <t>0149</t>
  </si>
  <si>
    <t>20426</t>
  </si>
  <si>
    <t>20427</t>
  </si>
  <si>
    <t>0150</t>
  </si>
  <si>
    <t>20428</t>
  </si>
  <si>
    <t>20429</t>
  </si>
  <si>
    <t>20430</t>
  </si>
  <si>
    <t>20431</t>
  </si>
  <si>
    <t>20432</t>
  </si>
  <si>
    <t>0151</t>
  </si>
  <si>
    <t>20433</t>
  </si>
  <si>
    <t>20434</t>
  </si>
  <si>
    <t>20435</t>
  </si>
  <si>
    <t>20436</t>
  </si>
  <si>
    <t>20437</t>
  </si>
  <si>
    <t>20438</t>
  </si>
  <si>
    <t>0152</t>
  </si>
  <si>
    <t>20439</t>
  </si>
  <si>
    <t>0153</t>
  </si>
  <si>
    <t>20440</t>
  </si>
  <si>
    <t>20441</t>
  </si>
  <si>
    <t>20442</t>
  </si>
  <si>
    <t>0154</t>
  </si>
  <si>
    <t>20443</t>
  </si>
  <si>
    <t>20444</t>
  </si>
  <si>
    <t>20445</t>
  </si>
  <si>
    <t>0155</t>
  </si>
  <si>
    <t>20446</t>
  </si>
  <si>
    <t>0156</t>
  </si>
  <si>
    <t>20447</t>
  </si>
  <si>
    <t>20448</t>
  </si>
  <si>
    <t>20449</t>
  </si>
  <si>
    <t>20450</t>
  </si>
  <si>
    <t>20451</t>
  </si>
  <si>
    <t>20452</t>
  </si>
  <si>
    <t>0157</t>
  </si>
  <si>
    <t>20453</t>
  </si>
  <si>
    <t>20454</t>
  </si>
  <si>
    <t>20455</t>
  </si>
  <si>
    <t>0158</t>
  </si>
  <si>
    <t>20456</t>
  </si>
  <si>
    <t>20457</t>
  </si>
  <si>
    <t>20458</t>
  </si>
  <si>
    <t>20459</t>
  </si>
  <si>
    <t>20460</t>
  </si>
  <si>
    <t>20461</t>
  </si>
  <si>
    <t>20462</t>
  </si>
  <si>
    <t>20463</t>
  </si>
  <si>
    <t>20464</t>
  </si>
  <si>
    <t>20465</t>
  </si>
  <si>
    <t>0159</t>
  </si>
  <si>
    <t>20466</t>
  </si>
  <si>
    <t>20467</t>
  </si>
  <si>
    <t>0160</t>
  </si>
  <si>
    <t>20468</t>
  </si>
  <si>
    <t>0161</t>
  </si>
  <si>
    <t>20469</t>
  </si>
  <si>
    <t>20470</t>
  </si>
  <si>
    <t>0162</t>
  </si>
  <si>
    <t>20471</t>
  </si>
  <si>
    <t>0163</t>
  </si>
  <si>
    <t>20472</t>
  </si>
  <si>
    <t>20473</t>
  </si>
  <si>
    <t>20474</t>
  </si>
  <si>
    <t>0164</t>
  </si>
  <si>
    <t>20475</t>
  </si>
  <si>
    <t>20476</t>
  </si>
  <si>
    <t>20477</t>
  </si>
  <si>
    <t>20478</t>
  </si>
  <si>
    <t>20479</t>
  </si>
  <si>
    <t>20480</t>
  </si>
  <si>
    <t>20481</t>
  </si>
  <si>
    <t>0165</t>
  </si>
  <si>
    <t>20482</t>
  </si>
  <si>
    <t>20483</t>
  </si>
  <si>
    <t>20484</t>
  </si>
  <si>
    <t>20485</t>
  </si>
  <si>
    <t>20486</t>
  </si>
  <si>
    <t>0166</t>
  </si>
  <si>
    <t>20487</t>
  </si>
  <si>
    <t>20488</t>
  </si>
  <si>
    <t>0167</t>
  </si>
  <si>
    <t>20489</t>
  </si>
  <si>
    <t>0168</t>
  </si>
  <si>
    <t>20490</t>
  </si>
  <si>
    <t>20491</t>
  </si>
  <si>
    <t>20492</t>
  </si>
  <si>
    <t>20493</t>
  </si>
  <si>
    <t>20494</t>
  </si>
  <si>
    <t>20495</t>
  </si>
  <si>
    <t>20496</t>
  </si>
  <si>
    <t>20497</t>
  </si>
  <si>
    <t>0169</t>
  </si>
  <si>
    <t>20498</t>
  </si>
  <si>
    <t>20499</t>
  </si>
  <si>
    <t>0170</t>
  </si>
  <si>
    <t>20500</t>
  </si>
  <si>
    <t>0171</t>
  </si>
  <si>
    <t>20501</t>
  </si>
  <si>
    <t>20502</t>
  </si>
  <si>
    <t>0172</t>
  </si>
  <si>
    <t>20503</t>
  </si>
  <si>
    <t>20504</t>
  </si>
  <si>
    <t>20505</t>
  </si>
  <si>
    <t>0173</t>
  </si>
  <si>
    <t>20506</t>
  </si>
  <si>
    <t>0174</t>
  </si>
  <si>
    <t>20507</t>
  </si>
  <si>
    <t>20508</t>
  </si>
  <si>
    <t>0175</t>
  </si>
  <si>
    <t>20509</t>
  </si>
  <si>
    <t>20510</t>
  </si>
  <si>
    <t>20511</t>
  </si>
  <si>
    <t>20512</t>
  </si>
  <si>
    <t>20513</t>
  </si>
  <si>
    <t>20514</t>
  </si>
  <si>
    <t>20515</t>
  </si>
  <si>
    <t>0176</t>
  </si>
  <si>
    <t>20516</t>
  </si>
  <si>
    <t>0177</t>
  </si>
  <si>
    <t>20517</t>
  </si>
  <si>
    <t>0178</t>
  </si>
  <si>
    <t>20518</t>
  </si>
  <si>
    <t>0179</t>
  </si>
  <si>
    <t>20519</t>
  </si>
  <si>
    <t>0180</t>
  </si>
  <si>
    <t>20520</t>
  </si>
  <si>
    <t>20521</t>
  </si>
  <si>
    <t>0181</t>
  </si>
  <si>
    <t>20522</t>
  </si>
  <si>
    <t>20523</t>
  </si>
  <si>
    <t>20524</t>
  </si>
  <si>
    <t>20525</t>
  </si>
  <si>
    <t>20526</t>
  </si>
  <si>
    <t>20527</t>
  </si>
  <si>
    <t>0182</t>
  </si>
  <si>
    <t>20528</t>
  </si>
  <si>
    <t>20529</t>
  </si>
  <si>
    <t>0183</t>
  </si>
  <si>
    <t>20530</t>
  </si>
  <si>
    <t>20531</t>
  </si>
  <si>
    <t>0184</t>
  </si>
  <si>
    <t>20532</t>
  </si>
  <si>
    <t>20533</t>
  </si>
  <si>
    <t>0185</t>
  </si>
  <si>
    <t>20534</t>
  </si>
  <si>
    <t>0186</t>
  </si>
  <si>
    <t>20535</t>
  </si>
  <si>
    <t>20536</t>
  </si>
  <si>
    <t>20537</t>
  </si>
  <si>
    <t>0187</t>
  </si>
  <si>
    <t>20538</t>
  </si>
  <si>
    <t>0188</t>
  </si>
  <si>
    <t>20539</t>
  </si>
  <si>
    <t>0189</t>
  </si>
  <si>
    <t>20540</t>
  </si>
  <si>
    <t>0190</t>
  </si>
  <si>
    <t>20541</t>
  </si>
  <si>
    <t>0191</t>
  </si>
  <si>
    <t>20542</t>
  </si>
  <si>
    <t>20543</t>
  </si>
  <si>
    <t>20544</t>
  </si>
  <si>
    <t>20545</t>
  </si>
  <si>
    <t>20546</t>
  </si>
  <si>
    <t>20547</t>
  </si>
  <si>
    <t>0192</t>
  </si>
  <si>
    <t>20548</t>
  </si>
  <si>
    <t>20549</t>
  </si>
  <si>
    <t>20550</t>
  </si>
  <si>
    <t>20551</t>
  </si>
  <si>
    <t>0193</t>
  </si>
  <si>
    <t>20552</t>
  </si>
  <si>
    <t>0194</t>
  </si>
  <si>
    <t>20553</t>
  </si>
  <si>
    <t>20554</t>
  </si>
  <si>
    <t>0195</t>
  </si>
  <si>
    <t>20555</t>
  </si>
  <si>
    <t>20556</t>
  </si>
  <si>
    <t>20557</t>
  </si>
  <si>
    <t>0196</t>
  </si>
  <si>
    <t>20558</t>
  </si>
  <si>
    <t>20559</t>
  </si>
  <si>
    <t>20560</t>
  </si>
  <si>
    <t>20561</t>
  </si>
  <si>
    <t>20562</t>
  </si>
  <si>
    <t>0197</t>
  </si>
  <si>
    <t>20563</t>
  </si>
  <si>
    <t>20564</t>
  </si>
  <si>
    <t>0198</t>
  </si>
  <si>
    <t>20565</t>
  </si>
  <si>
    <t>0199</t>
  </si>
  <si>
    <t>20566</t>
  </si>
  <si>
    <t>0200</t>
  </si>
  <si>
    <t>20567</t>
  </si>
  <si>
    <t>20568</t>
  </si>
  <si>
    <t>20569</t>
  </si>
  <si>
    <t>20570</t>
  </si>
  <si>
    <t>20571</t>
  </si>
  <si>
    <t>20572</t>
  </si>
  <si>
    <t>20573</t>
  </si>
  <si>
    <t>20574</t>
  </si>
  <si>
    <t>20575</t>
  </si>
  <si>
    <t>20576</t>
  </si>
  <si>
    <t>20577</t>
  </si>
  <si>
    <t>0201</t>
  </si>
  <si>
    <t>20578</t>
  </si>
  <si>
    <t>0202</t>
  </si>
  <si>
    <t>20579</t>
  </si>
  <si>
    <t>20580</t>
  </si>
  <si>
    <t>0203</t>
  </si>
  <si>
    <t>20581</t>
  </si>
  <si>
    <t>20582</t>
  </si>
  <si>
    <t>20583</t>
  </si>
  <si>
    <t>20584</t>
  </si>
  <si>
    <t>20585</t>
  </si>
  <si>
    <t>0204</t>
  </si>
  <si>
    <t>20586</t>
  </si>
  <si>
    <t>20587</t>
  </si>
  <si>
    <t>0205</t>
  </si>
  <si>
    <t>20588</t>
  </si>
  <si>
    <t>0206</t>
  </si>
  <si>
    <t>20589</t>
  </si>
  <si>
    <t>0207</t>
  </si>
  <si>
    <t>20590</t>
  </si>
  <si>
    <t>20591</t>
  </si>
  <si>
    <t>0208</t>
  </si>
  <si>
    <t>20592</t>
  </si>
  <si>
    <t>20593</t>
  </si>
  <si>
    <t>20594</t>
  </si>
  <si>
    <t>20595</t>
  </si>
  <si>
    <t>20596</t>
  </si>
  <si>
    <t>20597</t>
  </si>
  <si>
    <t>0209</t>
  </si>
  <si>
    <t>20598</t>
  </si>
  <si>
    <t>20599</t>
  </si>
  <si>
    <t>0210</t>
  </si>
  <si>
    <t>20600</t>
  </si>
  <si>
    <t>20601</t>
  </si>
  <si>
    <t>0211</t>
  </si>
  <si>
    <t>20602</t>
  </si>
  <si>
    <t>20603</t>
  </si>
  <si>
    <t>0212</t>
  </si>
  <si>
    <t>20604</t>
  </si>
  <si>
    <t>20605</t>
  </si>
  <si>
    <t>0213</t>
  </si>
  <si>
    <t>20606</t>
  </si>
  <si>
    <t>20607</t>
  </si>
  <si>
    <t>20608</t>
  </si>
  <si>
    <t>20609</t>
  </si>
  <si>
    <t>0214</t>
  </si>
  <si>
    <t>20610</t>
  </si>
  <si>
    <t>0215</t>
  </si>
  <si>
    <t>20611</t>
  </si>
  <si>
    <t>0216</t>
  </si>
  <si>
    <t>20612</t>
  </si>
  <si>
    <t>0217</t>
  </si>
  <si>
    <t>20613</t>
  </si>
  <si>
    <t>0218</t>
  </si>
  <si>
    <t>20614</t>
  </si>
  <si>
    <t>20615</t>
  </si>
  <si>
    <t>20616</t>
  </si>
  <si>
    <t>0219</t>
  </si>
  <si>
    <t>20617</t>
  </si>
  <si>
    <t>0220</t>
  </si>
  <si>
    <t>20618</t>
  </si>
  <si>
    <t>20619</t>
  </si>
  <si>
    <t>0221</t>
  </si>
  <si>
    <t>20620</t>
  </si>
  <si>
    <t>0222</t>
  </si>
  <si>
    <t>20621</t>
  </si>
  <si>
    <t>20622</t>
  </si>
  <si>
    <t>0223</t>
  </si>
  <si>
    <t>20623</t>
  </si>
  <si>
    <t>20624</t>
  </si>
  <si>
    <t>0224</t>
  </si>
  <si>
    <t>20625</t>
  </si>
  <si>
    <t>20626</t>
  </si>
  <si>
    <t>0225</t>
  </si>
  <si>
    <t>20627</t>
  </si>
  <si>
    <t>20628</t>
  </si>
  <si>
    <t>20629</t>
  </si>
  <si>
    <t>0226</t>
  </si>
  <si>
    <t>20630</t>
  </si>
  <si>
    <t>0227</t>
  </si>
  <si>
    <t>20631</t>
  </si>
  <si>
    <t>0228</t>
  </si>
  <si>
    <t>20632</t>
  </si>
  <si>
    <t>20633</t>
  </si>
  <si>
    <t>20634</t>
  </si>
  <si>
    <t>20635</t>
  </si>
  <si>
    <t>20636</t>
  </si>
  <si>
    <t>0229</t>
  </si>
  <si>
    <t>20637</t>
  </si>
  <si>
    <t>0230</t>
  </si>
  <si>
    <t>20638</t>
  </si>
  <si>
    <t>20639</t>
  </si>
  <si>
    <t>20640</t>
  </si>
  <si>
    <t>20641</t>
  </si>
  <si>
    <t>0231</t>
  </si>
  <si>
    <t>20642</t>
  </si>
  <si>
    <t>20643</t>
  </si>
  <si>
    <t>20644</t>
  </si>
  <si>
    <t>20645</t>
  </si>
  <si>
    <t>0232</t>
  </si>
  <si>
    <t>20646</t>
  </si>
  <si>
    <t>20647</t>
  </si>
  <si>
    <t>0233</t>
  </si>
  <si>
    <t>20648</t>
  </si>
  <si>
    <t>0234</t>
  </si>
  <si>
    <t>20649</t>
  </si>
  <si>
    <t>0235</t>
  </si>
  <si>
    <t>20650</t>
  </si>
  <si>
    <t>0236</t>
  </si>
  <si>
    <t>20651</t>
  </si>
  <si>
    <t>0237</t>
  </si>
  <si>
    <t>20652</t>
  </si>
  <si>
    <t>0238</t>
  </si>
  <si>
    <t>20653</t>
  </si>
  <si>
    <t>20654</t>
  </si>
  <si>
    <t>0239</t>
  </si>
  <si>
    <t>20655</t>
  </si>
  <si>
    <t>0240</t>
  </si>
  <si>
    <t>20656</t>
  </si>
  <si>
    <t>0241</t>
  </si>
  <si>
    <t>20657</t>
  </si>
  <si>
    <t>20658</t>
  </si>
  <si>
    <t>0242</t>
  </si>
  <si>
    <t>20659</t>
  </si>
  <si>
    <t>20660</t>
  </si>
  <si>
    <t>20661</t>
  </si>
  <si>
    <t>0243</t>
  </si>
  <si>
    <t>20662</t>
  </si>
  <si>
    <t>20663</t>
  </si>
  <si>
    <t>20664</t>
  </si>
  <si>
    <t>0244</t>
  </si>
  <si>
    <t>20665</t>
  </si>
  <si>
    <t>20666</t>
  </si>
  <si>
    <t>20667</t>
  </si>
  <si>
    <t>0245</t>
  </si>
  <si>
    <t>20668</t>
  </si>
  <si>
    <t>0246</t>
  </si>
  <si>
    <t>20669</t>
  </si>
  <si>
    <t>20670</t>
  </si>
  <si>
    <t>0247</t>
  </si>
  <si>
    <t>20671</t>
  </si>
  <si>
    <t>0248</t>
  </si>
  <si>
    <t>20672</t>
  </si>
  <si>
    <t>0249</t>
  </si>
  <si>
    <t>20673</t>
  </si>
  <si>
    <t>0250</t>
  </si>
  <si>
    <t>20674</t>
  </si>
  <si>
    <t>20675</t>
  </si>
  <si>
    <t>20676</t>
  </si>
  <si>
    <t>20677</t>
  </si>
  <si>
    <t>20678</t>
  </si>
  <si>
    <t>20679</t>
  </si>
  <si>
    <t>20680</t>
  </si>
  <si>
    <t>20681</t>
  </si>
  <si>
    <t>20682</t>
  </si>
  <si>
    <t>20683</t>
  </si>
  <si>
    <t>20684</t>
  </si>
  <si>
    <t>20685</t>
  </si>
  <si>
    <t>0251</t>
  </si>
  <si>
    <t>20686</t>
  </si>
  <si>
    <t>20687</t>
  </si>
  <si>
    <t>20688</t>
  </si>
  <si>
    <t>20689</t>
  </si>
  <si>
    <t>20690</t>
  </si>
  <si>
    <t>0252</t>
  </si>
  <si>
    <t>20691</t>
  </si>
  <si>
    <t>20692</t>
  </si>
  <si>
    <t>20693</t>
  </si>
  <si>
    <t>20694</t>
  </si>
  <si>
    <t>20695</t>
  </si>
  <si>
    <t>20696</t>
  </si>
  <si>
    <t>0253</t>
  </si>
  <si>
    <t>20697</t>
  </si>
  <si>
    <t>20698</t>
  </si>
  <si>
    <t>20699</t>
  </si>
  <si>
    <t>20700</t>
  </si>
  <si>
    <t>20701</t>
  </si>
  <si>
    <t>20702</t>
  </si>
  <si>
    <t>20703</t>
  </si>
  <si>
    <t>20704</t>
  </si>
  <si>
    <t>20705</t>
  </si>
  <si>
    <t>20706</t>
  </si>
  <si>
    <t>20707</t>
  </si>
  <si>
    <t>0254</t>
  </si>
  <si>
    <t>20708</t>
  </si>
  <si>
    <t>20709</t>
  </si>
  <si>
    <t>0255</t>
  </si>
  <si>
    <t>20710</t>
  </si>
  <si>
    <t>20711</t>
  </si>
  <si>
    <t>20712</t>
  </si>
  <si>
    <t>0256</t>
  </si>
  <si>
    <t>20713</t>
  </si>
  <si>
    <t>0257</t>
  </si>
  <si>
    <t>20714</t>
  </si>
  <si>
    <t>0258</t>
  </si>
  <si>
    <t>20715</t>
  </si>
  <si>
    <t>0259</t>
  </si>
  <si>
    <t>20716</t>
  </si>
  <si>
    <t>0260</t>
  </si>
  <si>
    <t>20717</t>
  </si>
  <si>
    <t>20718</t>
  </si>
  <si>
    <t>20719</t>
  </si>
  <si>
    <t>0261</t>
  </si>
  <si>
    <t>20720</t>
  </si>
  <si>
    <t>20721</t>
  </si>
  <si>
    <t>0262</t>
  </si>
  <si>
    <t>20722</t>
  </si>
  <si>
    <t>20723</t>
  </si>
  <si>
    <t>20724</t>
  </si>
  <si>
    <t>0263</t>
  </si>
  <si>
    <t>20725</t>
  </si>
  <si>
    <t>0264</t>
  </si>
  <si>
    <t>20726</t>
  </si>
  <si>
    <t>20727</t>
  </si>
  <si>
    <t>20728</t>
  </si>
  <si>
    <t>20729</t>
  </si>
  <si>
    <t>20730</t>
  </si>
  <si>
    <t>20731</t>
  </si>
  <si>
    <t>0265</t>
  </si>
  <si>
    <t>20732</t>
  </si>
  <si>
    <t>20733</t>
  </si>
  <si>
    <t>0266</t>
  </si>
  <si>
    <t>20734</t>
  </si>
  <si>
    <t>0267</t>
  </si>
  <si>
    <t>20735</t>
  </si>
  <si>
    <t>20736</t>
  </si>
  <si>
    <t>20737</t>
  </si>
  <si>
    <t>20738</t>
  </si>
  <si>
    <t>20739</t>
  </si>
  <si>
    <t>0268</t>
  </si>
  <si>
    <t>20740</t>
  </si>
  <si>
    <t>0269</t>
  </si>
  <si>
    <t>20741</t>
  </si>
  <si>
    <t>20742</t>
  </si>
  <si>
    <t>0270</t>
  </si>
  <si>
    <t>20743</t>
  </si>
  <si>
    <t>20744</t>
  </si>
  <si>
    <t>0271</t>
  </si>
  <si>
    <t>20745</t>
  </si>
  <si>
    <t>20746</t>
  </si>
  <si>
    <t>20747</t>
  </si>
  <si>
    <t>20748</t>
  </si>
  <si>
    <t>20749</t>
  </si>
  <si>
    <t>0272</t>
  </si>
  <si>
    <t>20750</t>
  </si>
  <si>
    <t>0273</t>
  </si>
  <si>
    <t>20751</t>
  </si>
  <si>
    <t>20752</t>
  </si>
  <si>
    <t>0274</t>
  </si>
  <si>
    <t>20753</t>
  </si>
  <si>
    <t>0275</t>
  </si>
  <si>
    <t>20754</t>
  </si>
  <si>
    <t>0276</t>
  </si>
  <si>
    <t>20755</t>
  </si>
  <si>
    <t>20756</t>
  </si>
  <si>
    <t>20757</t>
  </si>
  <si>
    <t>0277</t>
  </si>
  <si>
    <t>20758</t>
  </si>
  <si>
    <t>0278</t>
  </si>
  <si>
    <t>20759</t>
  </si>
  <si>
    <t>0279</t>
  </si>
  <si>
    <t>20760</t>
  </si>
  <si>
    <t>0280</t>
  </si>
  <si>
    <t>20761</t>
  </si>
  <si>
    <t>0281</t>
  </si>
  <si>
    <t>20762</t>
  </si>
  <si>
    <t>20763</t>
  </si>
  <si>
    <t>0282</t>
  </si>
  <si>
    <t>20764</t>
  </si>
  <si>
    <t>20765</t>
  </si>
  <si>
    <t>0283</t>
  </si>
  <si>
    <t>20766</t>
  </si>
  <si>
    <t>20767</t>
  </si>
  <si>
    <t>0284</t>
  </si>
  <si>
    <t>20768</t>
  </si>
  <si>
    <t>0285</t>
  </si>
  <si>
    <t>20769</t>
  </si>
  <si>
    <t>20770</t>
  </si>
  <si>
    <t>0286</t>
  </si>
  <si>
    <t>20771</t>
  </si>
  <si>
    <t>0287</t>
  </si>
  <si>
    <t>20772</t>
  </si>
  <si>
    <t>20773</t>
  </si>
  <si>
    <t>0288</t>
  </si>
  <si>
    <t>20774</t>
  </si>
  <si>
    <t>0289</t>
  </si>
  <si>
    <t>20775</t>
  </si>
  <si>
    <t>20776</t>
  </si>
  <si>
    <t>0290</t>
  </si>
  <si>
    <t>20777</t>
  </si>
  <si>
    <t>20778</t>
  </si>
  <si>
    <t>0291</t>
  </si>
  <si>
    <t>20779</t>
  </si>
  <si>
    <t>0292</t>
  </si>
  <si>
    <t>20780</t>
  </si>
  <si>
    <t>20781</t>
  </si>
  <si>
    <t>0293</t>
  </si>
  <si>
    <t>20782</t>
  </si>
  <si>
    <t>20783</t>
  </si>
  <si>
    <t>0294</t>
  </si>
  <si>
    <t>20784</t>
  </si>
  <si>
    <t>0295</t>
  </si>
  <si>
    <t>20785</t>
  </si>
  <si>
    <t>0296</t>
  </si>
  <si>
    <t>20786</t>
  </si>
  <si>
    <t>20787</t>
  </si>
  <si>
    <t>20788</t>
  </si>
  <si>
    <t>20789</t>
  </si>
  <si>
    <t>20790</t>
  </si>
  <si>
    <t>20791</t>
  </si>
  <si>
    <t>20792</t>
  </si>
  <si>
    <t>0297</t>
  </si>
  <si>
    <t>20793</t>
  </si>
  <si>
    <t>20794</t>
  </si>
  <si>
    <t>0298</t>
  </si>
  <si>
    <t>20795</t>
  </si>
  <si>
    <t>0299</t>
  </si>
  <si>
    <t>20796</t>
  </si>
  <si>
    <t>0300</t>
  </si>
  <si>
    <t>20797</t>
  </si>
  <si>
    <t>20798</t>
  </si>
  <si>
    <t>20799</t>
  </si>
  <si>
    <t>20800</t>
  </si>
  <si>
    <t>20801</t>
  </si>
  <si>
    <t>0301</t>
  </si>
  <si>
    <t>20802</t>
  </si>
  <si>
    <t>0302</t>
  </si>
  <si>
    <t>20803</t>
  </si>
  <si>
    <t>20804</t>
  </si>
  <si>
    <t>0303</t>
  </si>
  <si>
    <t>20805</t>
  </si>
  <si>
    <t>20806</t>
  </si>
  <si>
    <t>20807</t>
  </si>
  <si>
    <t>20808</t>
  </si>
  <si>
    <t>20809</t>
  </si>
  <si>
    <t>0304</t>
  </si>
  <si>
    <t>20810</t>
  </si>
  <si>
    <t>20811</t>
  </si>
  <si>
    <t>0305</t>
  </si>
  <si>
    <t>20812</t>
  </si>
  <si>
    <t>0306</t>
  </si>
  <si>
    <t>20813</t>
  </si>
  <si>
    <t>20814</t>
  </si>
  <si>
    <t>20815</t>
  </si>
  <si>
    <t>0307</t>
  </si>
  <si>
    <t>20816</t>
  </si>
  <si>
    <t>0308</t>
  </si>
  <si>
    <t>20817</t>
  </si>
  <si>
    <t>20818</t>
  </si>
  <si>
    <t>20819</t>
  </si>
  <si>
    <t>20820</t>
  </si>
  <si>
    <t>20821</t>
  </si>
  <si>
    <t>20822</t>
  </si>
  <si>
    <t>20823</t>
  </si>
  <si>
    <t>0309</t>
  </si>
  <si>
    <t>20824</t>
  </si>
  <si>
    <t>20825</t>
  </si>
  <si>
    <t>20826</t>
  </si>
  <si>
    <t>20827</t>
  </si>
  <si>
    <t>20828</t>
  </si>
  <si>
    <t>20829</t>
  </si>
  <si>
    <t>0310</t>
  </si>
  <si>
    <t>20830</t>
  </si>
  <si>
    <t>20831</t>
  </si>
  <si>
    <t>20832</t>
  </si>
  <si>
    <t>0311</t>
  </si>
  <si>
    <t>20833</t>
  </si>
  <si>
    <t>20834</t>
  </si>
  <si>
    <t>0312</t>
  </si>
  <si>
    <t>20835</t>
  </si>
  <si>
    <t>0313</t>
  </si>
  <si>
    <t>20836</t>
  </si>
  <si>
    <t>20837</t>
  </si>
  <si>
    <t>20838</t>
  </si>
  <si>
    <t>20839</t>
  </si>
  <si>
    <t>20840</t>
  </si>
  <si>
    <t>20841</t>
  </si>
  <si>
    <t>20842</t>
  </si>
  <si>
    <t>20843</t>
  </si>
  <si>
    <t>20844</t>
  </si>
  <si>
    <t>0314</t>
  </si>
  <si>
    <t>20845</t>
  </si>
  <si>
    <t>20846</t>
  </si>
  <si>
    <t>20847</t>
  </si>
  <si>
    <t>20848</t>
  </si>
  <si>
    <t>20849</t>
  </si>
  <si>
    <t>20850</t>
  </si>
  <si>
    <t>0315</t>
  </si>
  <si>
    <t>20851</t>
  </si>
  <si>
    <t>20852</t>
  </si>
  <si>
    <t>20853</t>
  </si>
  <si>
    <t>0316</t>
  </si>
  <si>
    <t>20854</t>
  </si>
  <si>
    <t>20855</t>
  </si>
  <si>
    <t>20856</t>
  </si>
  <si>
    <t>20857</t>
  </si>
  <si>
    <t>20858</t>
  </si>
  <si>
    <t>20859</t>
  </si>
  <si>
    <t>20860</t>
  </si>
  <si>
    <t>20861</t>
  </si>
  <si>
    <t>20862</t>
  </si>
  <si>
    <t>20863</t>
  </si>
  <si>
    <t>0317</t>
  </si>
  <si>
    <t>20864</t>
  </si>
  <si>
    <t>20865</t>
  </si>
  <si>
    <t>0318</t>
  </si>
  <si>
    <t>20866</t>
  </si>
  <si>
    <t>20867</t>
  </si>
  <si>
    <t>20868</t>
  </si>
  <si>
    <t>0319</t>
  </si>
  <si>
    <t>20869</t>
  </si>
  <si>
    <t>0320</t>
  </si>
  <si>
    <t>20870</t>
  </si>
  <si>
    <t>20871</t>
  </si>
  <si>
    <t>20872</t>
  </si>
  <si>
    <t>20873</t>
  </si>
  <si>
    <t>20874</t>
  </si>
  <si>
    <t>0321</t>
  </si>
  <si>
    <t>20875</t>
  </si>
  <si>
    <t>20876</t>
  </si>
  <si>
    <t>20877</t>
  </si>
  <si>
    <t>0322</t>
  </si>
  <si>
    <t>20878</t>
  </si>
  <si>
    <t>20879</t>
  </si>
  <si>
    <t>20880</t>
  </si>
  <si>
    <t>20881</t>
  </si>
  <si>
    <t>0323</t>
  </si>
  <si>
    <t>20882</t>
  </si>
  <si>
    <t>0324</t>
  </si>
  <si>
    <t>20883</t>
  </si>
  <si>
    <t>0325</t>
  </si>
  <si>
    <t>20884</t>
  </si>
  <si>
    <t>20885</t>
  </si>
  <si>
    <t>20886</t>
  </si>
  <si>
    <t>20887</t>
  </si>
  <si>
    <t>0326</t>
  </si>
  <si>
    <t>20888</t>
  </si>
  <si>
    <t>0327</t>
  </si>
  <si>
    <t>20889</t>
  </si>
  <si>
    <t>0328</t>
  </si>
  <si>
    <t>20890</t>
  </si>
  <si>
    <t>0329</t>
  </si>
  <si>
    <t>20891</t>
  </si>
  <si>
    <t>20892</t>
  </si>
  <si>
    <t>20893</t>
  </si>
  <si>
    <t>0330</t>
  </si>
  <si>
    <t>20894</t>
  </si>
  <si>
    <t>0331</t>
  </si>
  <si>
    <t>20895</t>
  </si>
  <si>
    <t>0332</t>
  </si>
  <si>
    <t>20896</t>
  </si>
  <si>
    <t>20897</t>
  </si>
  <si>
    <t>0333</t>
  </si>
  <si>
    <t>20898</t>
  </si>
  <si>
    <t>20899</t>
  </si>
  <si>
    <t>0334</t>
  </si>
  <si>
    <t>20900</t>
  </si>
  <si>
    <t>20901</t>
  </si>
  <si>
    <t>0335</t>
  </si>
  <si>
    <t>20902</t>
  </si>
  <si>
    <t>20903</t>
  </si>
  <si>
    <t>20904</t>
  </si>
  <si>
    <t>0336</t>
  </si>
  <si>
    <t>20905</t>
  </si>
  <si>
    <t>0337</t>
  </si>
  <si>
    <t>20906</t>
  </si>
  <si>
    <t>20907</t>
  </si>
  <si>
    <t>20908</t>
  </si>
  <si>
    <t>20909</t>
  </si>
  <si>
    <t>0338</t>
  </si>
  <si>
    <t>20910</t>
  </si>
  <si>
    <t>0339</t>
  </si>
  <si>
    <t>20911</t>
  </si>
  <si>
    <t>20912</t>
  </si>
  <si>
    <t>20913</t>
  </si>
  <si>
    <t>20914</t>
  </si>
  <si>
    <t>0340</t>
  </si>
  <si>
    <t>20915</t>
  </si>
  <si>
    <t>0341</t>
  </si>
  <si>
    <t>20916</t>
  </si>
  <si>
    <t>20917</t>
  </si>
  <si>
    <t>20918</t>
  </si>
  <si>
    <t>0342</t>
  </si>
  <si>
    <t>20919</t>
  </si>
  <si>
    <t>0343</t>
  </si>
  <si>
    <t>20920</t>
  </si>
  <si>
    <t>20921</t>
  </si>
  <si>
    <t>0344</t>
  </si>
  <si>
    <t>20922</t>
  </si>
  <si>
    <t>20923</t>
  </si>
  <si>
    <t>0345</t>
  </si>
  <si>
    <t>20924</t>
  </si>
  <si>
    <t>0346</t>
  </si>
  <si>
    <t>20925</t>
  </si>
  <si>
    <t>20926</t>
  </si>
  <si>
    <t>20927</t>
  </si>
  <si>
    <t>20928</t>
  </si>
  <si>
    <t>20929</t>
  </si>
  <si>
    <t>20930</t>
  </si>
  <si>
    <t>0347</t>
  </si>
  <si>
    <t>20931</t>
  </si>
  <si>
    <t>0348</t>
  </si>
  <si>
    <t>20932</t>
  </si>
  <si>
    <t>20933</t>
  </si>
  <si>
    <t>0349</t>
  </si>
  <si>
    <t>20934</t>
  </si>
  <si>
    <t>0350</t>
  </si>
  <si>
    <t>20935</t>
  </si>
  <si>
    <t>20936</t>
  </si>
  <si>
    <t>0351</t>
  </si>
  <si>
    <t>20937</t>
  </si>
  <si>
    <t>20938</t>
  </si>
  <si>
    <t>0352</t>
  </si>
  <si>
    <t>20939</t>
  </si>
  <si>
    <t>20940</t>
  </si>
  <si>
    <t>20941</t>
  </si>
  <si>
    <t>20942</t>
  </si>
  <si>
    <t>20943</t>
  </si>
  <si>
    <t>20944</t>
  </si>
  <si>
    <t>0353</t>
  </si>
  <si>
    <t>20945</t>
  </si>
  <si>
    <t>20946</t>
  </si>
  <si>
    <t>0354</t>
  </si>
  <si>
    <t>20947</t>
  </si>
  <si>
    <t>20948</t>
  </si>
  <si>
    <t>0355</t>
  </si>
  <si>
    <t>20949</t>
  </si>
  <si>
    <t>20950</t>
  </si>
  <si>
    <t>0356</t>
  </si>
  <si>
    <t>20951</t>
  </si>
  <si>
    <t>0357</t>
  </si>
  <si>
    <t>20952</t>
  </si>
  <si>
    <t>0358</t>
  </si>
  <si>
    <t>20953</t>
  </si>
  <si>
    <t>0359</t>
  </si>
  <si>
    <t>20954</t>
  </si>
  <si>
    <t>0360</t>
  </si>
  <si>
    <t>20955</t>
  </si>
  <si>
    <t>0361</t>
  </si>
  <si>
    <t>20956</t>
  </si>
  <si>
    <t>0362</t>
  </si>
  <si>
    <t>20957</t>
  </si>
  <si>
    <t>0363</t>
  </si>
  <si>
    <t>20958</t>
  </si>
  <si>
    <t>20959</t>
  </si>
  <si>
    <t>20960</t>
  </si>
  <si>
    <t>20961</t>
  </si>
  <si>
    <t>20962</t>
  </si>
  <si>
    <t>20963</t>
  </si>
  <si>
    <t>0364</t>
  </si>
  <si>
    <t>20964</t>
  </si>
  <si>
    <t>0365</t>
  </si>
  <si>
    <t>20965</t>
  </si>
  <si>
    <t>0366</t>
  </si>
  <si>
    <t>20966</t>
  </si>
  <si>
    <t>20967</t>
  </si>
  <si>
    <t>0367</t>
  </si>
  <si>
    <t>20968</t>
  </si>
  <si>
    <t>0368</t>
  </si>
  <si>
    <t>20969</t>
  </si>
  <si>
    <t>0369</t>
  </si>
  <si>
    <t>20970</t>
  </si>
  <si>
    <t>0370</t>
  </si>
  <si>
    <t>20971</t>
  </si>
  <si>
    <t>0371</t>
  </si>
  <si>
    <t>20972</t>
  </si>
  <si>
    <t>0372</t>
  </si>
  <si>
    <t>20973</t>
  </si>
  <si>
    <t>20974</t>
  </si>
  <si>
    <t>20975</t>
  </si>
  <si>
    <t>20976</t>
  </si>
  <si>
    <t>20977</t>
  </si>
  <si>
    <t>20978</t>
  </si>
  <si>
    <t>0373</t>
  </si>
  <si>
    <t>20979</t>
  </si>
  <si>
    <t>20980</t>
  </si>
  <si>
    <t>20981</t>
  </si>
  <si>
    <t>0374</t>
  </si>
  <si>
    <t>20982</t>
  </si>
  <si>
    <t>0375</t>
  </si>
  <si>
    <t>20983</t>
  </si>
  <si>
    <t>0376</t>
  </si>
  <si>
    <t>20984</t>
  </si>
  <si>
    <t>0377</t>
  </si>
  <si>
    <t>20985</t>
  </si>
  <si>
    <t>0378</t>
  </si>
  <si>
    <t>20986</t>
  </si>
  <si>
    <t>20987</t>
  </si>
  <si>
    <t>0379</t>
  </si>
  <si>
    <t>Forecast(Sales)</t>
  </si>
  <si>
    <t>Lower Confidence Bound(Sales)</t>
  </si>
  <si>
    <t>Upper Confidence Bound(Sales)</t>
  </si>
  <si>
    <t>Row Labels</t>
  </si>
  <si>
    <t>Grand Total</t>
  </si>
  <si>
    <t>Mar</t>
  </si>
  <si>
    <t>Apr</t>
  </si>
  <si>
    <t>May</t>
  </si>
  <si>
    <t>Jun</t>
  </si>
  <si>
    <t>Jul</t>
  </si>
  <si>
    <t>Sum of Sales</t>
  </si>
  <si>
    <t>Sales Total</t>
  </si>
  <si>
    <t>Coffee Name</t>
  </si>
  <si>
    <t>Month</t>
  </si>
  <si>
    <t>Count of Sales_ID</t>
  </si>
  <si>
    <t>Payment method</t>
  </si>
  <si>
    <t xml:space="preserve">Patrons </t>
  </si>
  <si>
    <t>Time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</si>
</sst>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1">
    <cellStyle name="Normal" xfId="0" builtinId="0"/>
  </cellStyles>
  <dxfs count="11">
    <dxf>
      <numFmt numFmtId="165" formatCode="0.0"/>
    </dxf>
    <dxf>
      <numFmt numFmtId="165" formatCode="0.0"/>
    </dxf>
    <dxf>
      <numFmt numFmtId="165" formatCode="0.0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project template.xlsm]Pivot!PivotTable2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Sales</a:t>
            </a:r>
            <a:r>
              <a:rPr lang="en-US" baseline="0">
                <a:solidFill>
                  <a:schemeClr val="bg1"/>
                </a:solidFill>
              </a:rPr>
              <a:t> by Coffee brand </a:t>
            </a:r>
            <a:endParaRPr lang="en-US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4.5467458277789552E-3"/>
              <c:y val="-0.1051248502453741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4.167802195324077E-17"/>
              <c:y val="-5.957074847237865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4.0920712450010367E-2"/>
              <c:y val="-6.657907182207022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4100593708342009E-2"/>
              <c:y val="-0.11914149694475734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6373966622231392E-2"/>
              <c:y val="-9.461236522083674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5.2287577019457576E-2"/>
              <c:y val="-6.307491014722452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7.2747933244462951E-2"/>
              <c:y val="-0.12965398196929478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6.8201187416684017E-2"/>
              <c:y val="-0.10512485024537416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  <a:effectLst/>
            <a:sp3d>
              <a:contourClr>
                <a:srgbClr val="FF0000"/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42-4DAB-B7CD-C3D3CAFF7F9B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42-4DAB-B7CD-C3D3CAFF7F9B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42-4DAB-B7CD-C3D3CAFF7F9B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C442-4DAB-B7CD-C3D3CAFF7F9B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C442-4DAB-B7CD-C3D3CAFF7F9B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442-4DAB-B7CD-C3D3CAFF7F9B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42-4DAB-B7CD-C3D3CAFF7F9B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42-4DAB-B7CD-C3D3CAFF7F9B}"/>
              </c:ext>
            </c:extLst>
          </c:dPt>
          <c:dLbls>
            <c:dLbl>
              <c:idx val="0"/>
              <c:layout>
                <c:manualLayout>
                  <c:x val="-4.5467458277789552E-3"/>
                  <c:y val="-0.1051248502453741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42-4DAB-B7CD-C3D3CAFF7F9B}"/>
                </c:ext>
              </c:extLst>
            </c:dLbl>
            <c:dLbl>
              <c:idx val="1"/>
              <c:layout>
                <c:manualLayout>
                  <c:x val="-4.167802195324077E-17"/>
                  <c:y val="-5.9570748472378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42-4DAB-B7CD-C3D3CAFF7F9B}"/>
                </c:ext>
              </c:extLst>
            </c:dLbl>
            <c:dLbl>
              <c:idx val="2"/>
              <c:layout>
                <c:manualLayout>
                  <c:x val="4.0920712450010367E-2"/>
                  <c:y val="-6.6579071822070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42-4DAB-B7CD-C3D3CAFF7F9B}"/>
                </c:ext>
              </c:extLst>
            </c:dLbl>
            <c:dLbl>
              <c:idx val="3"/>
              <c:layout>
                <c:manualLayout>
                  <c:x val="3.4100593708342009E-2"/>
                  <c:y val="-0.1191414969447573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42-4DAB-B7CD-C3D3CAFF7F9B}"/>
                </c:ext>
              </c:extLst>
            </c:dLbl>
            <c:dLbl>
              <c:idx val="4"/>
              <c:layout>
                <c:manualLayout>
                  <c:x val="3.6373966622231392E-2"/>
                  <c:y val="-9.46123652208367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42-4DAB-B7CD-C3D3CAFF7F9B}"/>
                </c:ext>
              </c:extLst>
            </c:dLbl>
            <c:dLbl>
              <c:idx val="5"/>
              <c:layout>
                <c:manualLayout>
                  <c:x val="5.2287577019457576E-2"/>
                  <c:y val="-6.30749101472245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42-4DAB-B7CD-C3D3CAFF7F9B}"/>
                </c:ext>
              </c:extLst>
            </c:dLbl>
            <c:dLbl>
              <c:idx val="6"/>
              <c:layout>
                <c:manualLayout>
                  <c:x val="7.2747933244462951E-2"/>
                  <c:y val="-0.129653981969294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42-4DAB-B7CD-C3D3CAFF7F9B}"/>
                </c:ext>
              </c:extLst>
            </c:dLbl>
            <c:dLbl>
              <c:idx val="7"/>
              <c:layout>
                <c:manualLayout>
                  <c:x val="6.8201187416684017E-2"/>
                  <c:y val="-0.105124850245374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442-4DAB-B7CD-C3D3CAFF7F9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Pivot!$A$4:$A$11</c:f>
              <c:strCache>
                <c:ptCount val="8"/>
                <c:pt idx="0">
                  <c:v>Latte</c:v>
                </c:pt>
                <c:pt idx="1">
                  <c:v>Americano With Milk</c:v>
                </c:pt>
                <c:pt idx="2">
                  <c:v>Cappuccino</c:v>
                </c:pt>
                <c:pt idx="3">
                  <c:v>Americano</c:v>
                </c:pt>
                <c:pt idx="4">
                  <c:v>Hot Chocolate</c:v>
                </c:pt>
                <c:pt idx="5">
                  <c:v>Cortado</c:v>
                </c:pt>
                <c:pt idx="6">
                  <c:v>Cocoa</c:v>
                </c:pt>
                <c:pt idx="7">
                  <c:v>Espresso</c:v>
                </c:pt>
              </c:strCache>
            </c:strRef>
          </c:cat>
          <c:val>
            <c:numRef>
              <c:f>Pivot!$B$4:$B$11</c:f>
              <c:numCache>
                <c:formatCode>General</c:formatCode>
                <c:ptCount val="8"/>
                <c:pt idx="0">
                  <c:v>7696.3400000000092</c:v>
                </c:pt>
                <c:pt idx="1">
                  <c:v>7457.219999999983</c:v>
                </c:pt>
                <c:pt idx="2">
                  <c:v>6709.5600000000049</c:v>
                </c:pt>
                <c:pt idx="3">
                  <c:v>4092.0600000000063</c:v>
                </c:pt>
                <c:pt idx="4">
                  <c:v>2680.0200000000004</c:v>
                </c:pt>
                <c:pt idx="5">
                  <c:v>2445.8200000000029</c:v>
                </c:pt>
                <c:pt idx="6">
                  <c:v>1066.2000000000003</c:v>
                </c:pt>
                <c:pt idx="7">
                  <c:v>919.41999999999962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42-4DAB-B7CD-C3D3CAFF7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43378399"/>
        <c:axId val="1043378879"/>
        <c:axId val="0"/>
      </c:bar3DChart>
      <c:catAx>
        <c:axId val="104337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378879"/>
        <c:crosses val="autoZero"/>
        <c:auto val="1"/>
        <c:lblAlgn val="ctr"/>
        <c:lblOffset val="100"/>
        <c:noMultiLvlLbl val="0"/>
      </c:catAx>
      <c:valAx>
        <c:axId val="1043378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37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project template.xlsm]Pivot!PivotTable3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Sale</a:t>
            </a:r>
            <a:r>
              <a:rPr lang="en-US" baseline="0">
                <a:solidFill>
                  <a:schemeClr val="bg1"/>
                </a:solidFill>
              </a:rPr>
              <a:t>s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2.2222222222222223E-2"/>
              <c:y val="-0.1359476564468503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0.10833333333333334"/>
              <c:y val="-0.10108928299894004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0.05"/>
              <c:y val="-9.063177096456694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2.7777777777777776E-2"/>
              <c:y val="0.13943349379164127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8.8888888888888892E-2"/>
              <c:y val="-0.20217856599787998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80314960629922"/>
          <c:y val="0.1982379229459772"/>
          <c:w val="0.69889282589676294"/>
          <c:h val="0.65222734027316887"/>
        </c:manualLayout>
      </c:layout>
      <c:line3DChart>
        <c:grouping val="standard"/>
        <c:varyColors val="0"/>
        <c:ser>
          <c:idx val="0"/>
          <c:order val="0"/>
          <c:tx>
            <c:strRef>
              <c:f>Pivot!$K$3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  <a:effectLst/>
            <a:sp3d>
              <a:contourClr>
                <a:srgbClr val="FF0000"/>
              </a:contourClr>
            </a:sp3d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5-ED45-4162-A2D9-8FE65464F177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6-ED45-4162-A2D9-8FE65464F17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ED45-4162-A2D9-8FE65464F177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ED45-4162-A2D9-8FE65464F17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ED45-4162-A2D9-8FE65464F177}"/>
              </c:ext>
            </c:extLst>
          </c:dPt>
          <c:dLbls>
            <c:dLbl>
              <c:idx val="0"/>
              <c:layout>
                <c:manualLayout>
                  <c:x val="-2.7777777777777776E-2"/>
                  <c:y val="0.139433493791641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45-4162-A2D9-8FE65464F177}"/>
                </c:ext>
              </c:extLst>
            </c:dLbl>
            <c:dLbl>
              <c:idx val="1"/>
              <c:layout>
                <c:manualLayout>
                  <c:x val="-8.8888888888888892E-2"/>
                  <c:y val="-0.2021785659978799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45-4162-A2D9-8FE65464F177}"/>
                </c:ext>
              </c:extLst>
            </c:dLbl>
            <c:dLbl>
              <c:idx val="2"/>
              <c:layout>
                <c:manualLayout>
                  <c:x val="2.2222222222222223E-2"/>
                  <c:y val="-0.1359476564468503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45-4162-A2D9-8FE65464F177}"/>
                </c:ext>
              </c:extLst>
            </c:dLbl>
            <c:dLbl>
              <c:idx val="3"/>
              <c:layout>
                <c:manualLayout>
                  <c:x val="0.10833333333333334"/>
                  <c:y val="-0.1010892829989400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45-4162-A2D9-8FE65464F177}"/>
                </c:ext>
              </c:extLst>
            </c:dLbl>
            <c:dLbl>
              <c:idx val="4"/>
              <c:layout>
                <c:manualLayout>
                  <c:x val="0.05"/>
                  <c:y val="-9.06317709645669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45-4162-A2D9-8FE65464F17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Pivot!$J$4:$J$8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Pivot!$K$4:$K$8</c:f>
              <c:numCache>
                <c:formatCode>General</c:formatCode>
                <c:ptCount val="5"/>
                <c:pt idx="0">
                  <c:v>7050.1999999999871</c:v>
                </c:pt>
                <c:pt idx="1">
                  <c:v>6720.5600000000013</c:v>
                </c:pt>
                <c:pt idx="2">
                  <c:v>9063.4200000000019</c:v>
                </c:pt>
                <c:pt idx="3">
                  <c:v>7758.7600000000048</c:v>
                </c:pt>
                <c:pt idx="4">
                  <c:v>2473.7000000000016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5-4162-A2D9-8FE65464F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116015"/>
        <c:axId val="2130114095"/>
        <c:axId val="2131877919"/>
      </c:line3DChart>
      <c:catAx>
        <c:axId val="213011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14095"/>
        <c:crosses val="autoZero"/>
        <c:auto val="1"/>
        <c:lblAlgn val="ctr"/>
        <c:lblOffset val="100"/>
        <c:noMultiLvlLbl val="0"/>
      </c:catAx>
      <c:valAx>
        <c:axId val="2130114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16015"/>
        <c:crosses val="autoZero"/>
        <c:crossBetween val="between"/>
      </c:valAx>
      <c:serAx>
        <c:axId val="21318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14095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project template.xlsm]Pivot!PivotTable4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Payment</a:t>
            </a:r>
            <a:r>
              <a:rPr lang="en-US" baseline="0">
                <a:solidFill>
                  <a:schemeClr val="bg1"/>
                </a:solidFill>
              </a:rPr>
              <a:t>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11944444444444451"/>
              <c:y val="-2.075226695367617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462620297462818"/>
                  <c:h val="8.7207452950634659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0.24831102362204716"/>
              <c:y val="-5.8798089702082543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644160104986876"/>
                  <c:h val="8.7207452950634659E-2"/>
                </c:manualLayout>
              </c15:layout>
            </c:ext>
          </c:extLst>
        </c:dLbl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Pivot!$S$3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F79-4497-8186-D565220B3B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4F79-4497-8186-D565220B3B65}"/>
              </c:ext>
            </c:extLst>
          </c:dPt>
          <c:dLbls>
            <c:dLbl>
              <c:idx val="0"/>
              <c:layout>
                <c:manualLayout>
                  <c:x val="0.24831102362204716"/>
                  <c:y val="-5.879808970208254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644160104986876"/>
                      <c:h val="8.72074529506346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F79-4497-8186-D565220B3B65}"/>
                </c:ext>
              </c:extLst>
            </c:dLbl>
            <c:dLbl>
              <c:idx val="1"/>
              <c:layout>
                <c:manualLayout>
                  <c:x val="-0.11944444444444451"/>
                  <c:y val="-2.075226695367617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462620297462818"/>
                      <c:h val="8.72074529506346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F79-4497-8186-D565220B3B6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Pivot!$R$4:$R$6</c:f>
              <c:strCache>
                <c:ptCount val="2"/>
                <c:pt idx="0">
                  <c:v>Card</c:v>
                </c:pt>
                <c:pt idx="1">
                  <c:v>Cash</c:v>
                </c:pt>
              </c:strCache>
            </c:strRef>
          </c:cat>
          <c:val>
            <c:numRef>
              <c:f>Pivot!$S$4:$S$6</c:f>
              <c:numCache>
                <c:formatCode>General</c:formatCode>
                <c:ptCount val="2"/>
                <c:pt idx="0">
                  <c:v>887</c:v>
                </c:pt>
                <c:pt idx="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9-4497-8186-D565220B3B6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project template.xlsm]Pivot!PivotTable5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10277777777777777"/>
              <c:y val="-6.8463833306200003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596325459317587"/>
                  <c:h val="8.6311869472354086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8.0555555555555464E-2"/>
              <c:y val="1.369276666123987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4373250218722661"/>
                  <c:h val="8.6311869472354086E-2"/>
                </c:manualLayout>
              </c15:layout>
            </c:ext>
          </c:extLst>
        </c:dLbl>
      </c:pivotFmt>
    </c:pivotFmts>
    <c:view3D>
      <c:rotX val="6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Pivot!$AB$3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45A-45B7-B694-118B09A53F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345A-45B7-B694-118B09A53FA1}"/>
              </c:ext>
            </c:extLst>
          </c:dPt>
          <c:dLbls>
            <c:dLbl>
              <c:idx val="0"/>
              <c:layout>
                <c:manualLayout>
                  <c:x val="8.0555555555555464E-2"/>
                  <c:y val="1.369276666123987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373250218722661"/>
                      <c:h val="8.63118694723540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45A-45B7-B694-118B09A53FA1}"/>
                </c:ext>
              </c:extLst>
            </c:dLbl>
            <c:dLbl>
              <c:idx val="1"/>
              <c:layout>
                <c:manualLayout>
                  <c:x val="-0.10277777777777777"/>
                  <c:y val="-6.846383330620000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596325459317587"/>
                      <c:h val="8.63118694723540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45A-45B7-B694-118B09A53FA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Pivot!$AA$4:$AA$6</c:f>
              <c:strCache>
                <c:ptCount val="2"/>
                <c:pt idx="0">
                  <c:v>Afternoon</c:v>
                </c:pt>
                <c:pt idx="1">
                  <c:v>Morning</c:v>
                </c:pt>
              </c:strCache>
            </c:strRef>
          </c:cat>
          <c:val>
            <c:numRef>
              <c:f>Pivot!$AB$4:$AB$6</c:f>
              <c:numCache>
                <c:formatCode>General</c:formatCode>
                <c:ptCount val="2"/>
                <c:pt idx="0">
                  <c:v>704</c:v>
                </c:pt>
                <c:pt idx="1">
                  <c:v>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A-45B7-B694-118B09A53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[Coffee project template.xlsm]Pivot!PivotTable7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Coffee</a:t>
            </a:r>
            <a:r>
              <a:rPr lang="en-GB" baseline="0"/>
              <a:t> by demand</a:t>
            </a:r>
            <a:endParaRPr lang="en-GB"/>
          </a:p>
        </c:rich>
      </c:tx>
      <c:layout>
        <c:manualLayout>
          <c:xMode val="edge"/>
          <c:yMode val="edge"/>
          <c:x val="0.35084011373578305"/>
          <c:y val="5.45348498104403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5.0925337632079971E-17"/>
              <c:y val="-6.944444444444446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1.1111111111111112E-2"/>
              <c:y val="-5.555555555555555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6111111111111059E-2"/>
              <c:y val="-6.9444444444444489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5.8333333333333334E-2"/>
              <c:y val="-9.722222222222222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2.4999999999999897E-2"/>
              <c:y val="-6.944444444444444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6111111111111108E-2"/>
              <c:y val="-6.944444444444444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888888888888889E-2"/>
              <c:y val="-0.1111111111111111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6.3888888888888884E-2"/>
              <c:y val="-6.9444444444444489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712843394575678"/>
          <c:y val="0.22161818314377368"/>
          <c:w val="0.73401640419947511"/>
          <c:h val="0.31241214639836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Pivot!$B$30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  <a:effectLst/>
            <a:sp3d>
              <a:contourClr>
                <a:srgbClr val="FF0000"/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5B52-443E-BAF5-7B7C006AC6C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5B52-443E-BAF5-7B7C006AC6C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5B52-443E-BAF5-7B7C006AC6C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5B52-443E-BAF5-7B7C006AC6C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5B52-443E-BAF5-7B7C006AC6C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5B52-443E-BAF5-7B7C006AC6C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5B52-443E-BAF5-7B7C006AC6C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B52-443E-BAF5-7B7C006AC6C1}"/>
              </c:ext>
            </c:extLst>
          </c:dPt>
          <c:dLbls>
            <c:dLbl>
              <c:idx val="0"/>
              <c:layout>
                <c:manualLayout>
                  <c:x val="-5.0925337632079971E-17"/>
                  <c:y val="-6.94444444444444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52-443E-BAF5-7B7C006AC6C1}"/>
                </c:ext>
              </c:extLst>
            </c:dLbl>
            <c:dLbl>
              <c:idx val="1"/>
              <c:layout>
                <c:manualLayout>
                  <c:x val="1.1111111111111112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52-443E-BAF5-7B7C006AC6C1}"/>
                </c:ext>
              </c:extLst>
            </c:dLbl>
            <c:dLbl>
              <c:idx val="2"/>
              <c:layout>
                <c:manualLayout>
                  <c:x val="3.6111111111111059E-2"/>
                  <c:y val="-6.94444444444444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B52-443E-BAF5-7B7C006AC6C1}"/>
                </c:ext>
              </c:extLst>
            </c:dLbl>
            <c:dLbl>
              <c:idx val="3"/>
              <c:layout>
                <c:manualLayout>
                  <c:x val="5.8333333333333334E-2"/>
                  <c:y val="-9.72222222222222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52-443E-BAF5-7B7C006AC6C1}"/>
                </c:ext>
              </c:extLst>
            </c:dLbl>
            <c:dLbl>
              <c:idx val="4"/>
              <c:layout>
                <c:manualLayout>
                  <c:x val="2.4999999999999897E-2"/>
                  <c:y val="-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52-443E-BAF5-7B7C006AC6C1}"/>
                </c:ext>
              </c:extLst>
            </c:dLbl>
            <c:dLbl>
              <c:idx val="5"/>
              <c:layout>
                <c:manualLayout>
                  <c:x val="3.6111111111111108E-2"/>
                  <c:y val="-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52-443E-BAF5-7B7C006AC6C1}"/>
                </c:ext>
              </c:extLst>
            </c:dLbl>
            <c:dLbl>
              <c:idx val="6"/>
              <c:layout>
                <c:manualLayout>
                  <c:x val="3.888888888888889E-2"/>
                  <c:y val="-0.111111111111111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B52-443E-BAF5-7B7C006AC6C1}"/>
                </c:ext>
              </c:extLst>
            </c:dLbl>
            <c:dLbl>
              <c:idx val="7"/>
              <c:layout>
                <c:manualLayout>
                  <c:x val="6.3888888888888884E-2"/>
                  <c:y val="-6.94444444444444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B52-443E-BAF5-7B7C006AC6C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Pivot!$A$31:$A$39</c:f>
              <c:strCache>
                <c:ptCount val="8"/>
                <c:pt idx="0">
                  <c:v>Americano With Milk</c:v>
                </c:pt>
                <c:pt idx="1">
                  <c:v>Latte</c:v>
                </c:pt>
                <c:pt idx="2">
                  <c:v>Cappuccino</c:v>
                </c:pt>
                <c:pt idx="3">
                  <c:v>Americano</c:v>
                </c:pt>
                <c:pt idx="4">
                  <c:v>Cortado</c:v>
                </c:pt>
                <c:pt idx="5">
                  <c:v>Hot Chocolate</c:v>
                </c:pt>
                <c:pt idx="6">
                  <c:v>Espresso</c:v>
                </c:pt>
                <c:pt idx="7">
                  <c:v>Cocoa</c:v>
                </c:pt>
              </c:strCache>
            </c:strRef>
          </c:cat>
          <c:val>
            <c:numRef>
              <c:f>Pivot!$B$31:$B$39</c:f>
              <c:numCache>
                <c:formatCode>General</c:formatCode>
                <c:ptCount val="8"/>
                <c:pt idx="0">
                  <c:v>227</c:v>
                </c:pt>
                <c:pt idx="1">
                  <c:v>203</c:v>
                </c:pt>
                <c:pt idx="2">
                  <c:v>177</c:v>
                </c:pt>
                <c:pt idx="3">
                  <c:v>145</c:v>
                </c:pt>
                <c:pt idx="4">
                  <c:v>86</c:v>
                </c:pt>
                <c:pt idx="5">
                  <c:v>71</c:v>
                </c:pt>
                <c:pt idx="6">
                  <c:v>39</c:v>
                </c:pt>
                <c:pt idx="7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42-4DAB-B7CD-C3D3CAFF7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43378399"/>
        <c:axId val="1043378879"/>
        <c:axId val="0"/>
      </c:bar3DChart>
      <c:catAx>
        <c:axId val="104337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378879"/>
        <c:crosses val="autoZero"/>
        <c:auto val="1"/>
        <c:lblAlgn val="ctr"/>
        <c:lblOffset val="100"/>
        <c:noMultiLvlLbl val="0"/>
      </c:catAx>
      <c:valAx>
        <c:axId val="1043378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37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project template.xlsm]Pivot!PivotTable4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Payment</a:t>
            </a:r>
            <a:r>
              <a:rPr lang="en-US" baseline="0">
                <a:solidFill>
                  <a:schemeClr val="bg1"/>
                </a:solidFill>
              </a:rPr>
              <a:t>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11944444444444451"/>
              <c:y val="-2.075226695367617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462620297462818"/>
                  <c:h val="8.7207452950634659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0.24831102362204716"/>
              <c:y val="-5.8798089702082543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644160104986876"/>
                  <c:h val="8.7207452950634659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0.24831102362204716"/>
              <c:y val="-5.8798089702082543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644160104986876"/>
                  <c:h val="8.72074529506346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11944444444444451"/>
              <c:y val="-2.075226695367617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462620297462818"/>
                  <c:h val="8.7207452950634659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0.13520173206009709"/>
              <c:y val="2.186043695518277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162848696267123"/>
                  <c:h val="8.7207463472798313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11944444444444451"/>
              <c:y val="-2.075226695367617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462620297462818"/>
                  <c:h val="8.7207452950634659E-2"/>
                </c:manualLayout>
              </c15:layout>
            </c:ext>
          </c:extLst>
        </c:dLbl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2498456027830194E-2"/>
          <c:y val="0.22506868401214852"/>
          <c:w val="0.81388888888888888"/>
          <c:h val="0.6600901225745448"/>
        </c:manualLayout>
      </c:layout>
      <c:pie3DChart>
        <c:varyColors val="1"/>
        <c:ser>
          <c:idx val="0"/>
          <c:order val="0"/>
          <c:tx>
            <c:strRef>
              <c:f>Pivot!$S$3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81A-4885-81AD-92CC316383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81A-4885-81AD-92CC316383F7}"/>
              </c:ext>
            </c:extLst>
          </c:dPt>
          <c:dLbls>
            <c:dLbl>
              <c:idx val="0"/>
              <c:layout>
                <c:manualLayout>
                  <c:x val="0.13520173206009709"/>
                  <c:y val="2.186043695518277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162848696267123"/>
                      <c:h val="8.720746347279831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81A-4885-81AD-92CC316383F7}"/>
                </c:ext>
              </c:extLst>
            </c:dLbl>
            <c:dLbl>
              <c:idx val="1"/>
              <c:layout>
                <c:manualLayout>
                  <c:x val="-0.11944444444444451"/>
                  <c:y val="-2.075226695367617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462620297462818"/>
                      <c:h val="8.72074529506346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81A-4885-81AD-92CC316383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Pivot!$R$4:$R$6</c:f>
              <c:strCache>
                <c:ptCount val="2"/>
                <c:pt idx="0">
                  <c:v>Card</c:v>
                </c:pt>
                <c:pt idx="1">
                  <c:v>Cash</c:v>
                </c:pt>
              </c:strCache>
            </c:strRef>
          </c:cat>
          <c:val>
            <c:numRef>
              <c:f>Pivot!$S$4:$S$6</c:f>
              <c:numCache>
                <c:formatCode>General</c:formatCode>
                <c:ptCount val="2"/>
                <c:pt idx="0">
                  <c:v>887</c:v>
                </c:pt>
                <c:pt idx="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1A-4885-81AD-92CC316383F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project template.xlsm]Pivot!PivotTable5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10277777777777777"/>
              <c:y val="-6.8463833306200003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596325459317587"/>
                  <c:h val="8.6311869472354086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8.0555555555555464E-2"/>
              <c:y val="1.369276666123987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4373250218722661"/>
                  <c:h val="8.6311869472354086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8.0555555555555464E-2"/>
              <c:y val="1.369276666123987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4373250218722661"/>
                  <c:h val="8.6311869472354086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10277777777777777"/>
              <c:y val="-6.8463833306200003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596325459317587"/>
                  <c:h val="8.6311869472354086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8.0555555555555464E-2"/>
              <c:y val="1.369276666123987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4373250218722661"/>
                  <c:h val="8.6311869472354086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10277777777777777"/>
              <c:y val="-6.8463833306200003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596325459317587"/>
                  <c:h val="8.6311869472354086E-2"/>
                </c:manualLayout>
              </c15:layout>
            </c:ext>
          </c:extLst>
        </c:dLbl>
      </c:pivotFmt>
    </c:pivotFmts>
    <c:view3D>
      <c:rotX val="6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Pivot!$AB$3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3F4-4DF3-A4DA-207CBFCC0D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3F4-4DF3-A4DA-207CBFCC0D34}"/>
              </c:ext>
            </c:extLst>
          </c:dPt>
          <c:dLbls>
            <c:dLbl>
              <c:idx val="0"/>
              <c:layout>
                <c:manualLayout>
                  <c:x val="8.0555555555555464E-2"/>
                  <c:y val="1.369276666123987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373250218722661"/>
                      <c:h val="8.63118694723540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3F4-4DF3-A4DA-207CBFCC0D34}"/>
                </c:ext>
              </c:extLst>
            </c:dLbl>
            <c:dLbl>
              <c:idx val="1"/>
              <c:layout>
                <c:manualLayout>
                  <c:x val="-0.10277777777777777"/>
                  <c:y val="-6.846383330620000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596325459317587"/>
                      <c:h val="8.63118694723540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3F4-4DF3-A4DA-207CBFCC0D3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Pivot!$AA$4:$AA$6</c:f>
              <c:strCache>
                <c:ptCount val="2"/>
                <c:pt idx="0">
                  <c:v>Afternoon</c:v>
                </c:pt>
                <c:pt idx="1">
                  <c:v>Morning</c:v>
                </c:pt>
              </c:strCache>
            </c:strRef>
          </c:cat>
          <c:val>
            <c:numRef>
              <c:f>Pivot!$AB$4:$AB$6</c:f>
              <c:numCache>
                <c:formatCode>General</c:formatCode>
                <c:ptCount val="2"/>
                <c:pt idx="0">
                  <c:v>704</c:v>
                </c:pt>
                <c:pt idx="1">
                  <c:v>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F4-4DF3-A4DA-207CBFCC0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July 18 - december 3 Coffee</a:t>
            </a:r>
            <a:r>
              <a:rPr lang="en-US" baseline="0">
                <a:solidFill>
                  <a:schemeClr val="bg1"/>
                </a:solidFill>
              </a:rPr>
              <a:t> Sales </a:t>
            </a:r>
            <a:r>
              <a:rPr lang="en-US">
                <a:solidFill>
                  <a:schemeClr val="bg1"/>
                </a:solidFill>
              </a:rPr>
              <a:t>Forecast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757238037552999E-2"/>
          <c:y val="0.12869135802469137"/>
          <c:w val="0.95205724207550979"/>
          <c:h val="0.72647444995301513"/>
        </c:manualLayout>
      </c:layout>
      <c:lineChart>
        <c:grouping val="standard"/>
        <c:varyColors val="0"/>
        <c:ser>
          <c:idx val="0"/>
          <c:order val="0"/>
          <c:tx>
            <c:strRef>
              <c:f>'Forecast 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'Forecast '!$B$2:$B$279</c:f>
              <c:numCache>
                <c:formatCode>0.0</c:formatCode>
                <c:ptCount val="278"/>
                <c:pt idx="0">
                  <c:v>36.027272727272724</c:v>
                </c:pt>
                <c:pt idx="1">
                  <c:v>32.585714285714282</c:v>
                </c:pt>
                <c:pt idx="2">
                  <c:v>34.909999999999997</c:v>
                </c:pt>
                <c:pt idx="3">
                  <c:v>33.799999999999997</c:v>
                </c:pt>
                <c:pt idx="4">
                  <c:v>37.611111111111107</c:v>
                </c:pt>
                <c:pt idx="5">
                  <c:v>34.040000000000006</c:v>
                </c:pt>
                <c:pt idx="6">
                  <c:v>36.68333333333333</c:v>
                </c:pt>
                <c:pt idx="7">
                  <c:v>33.1875</c:v>
                </c:pt>
                <c:pt idx="8">
                  <c:v>34.24285714285714</c:v>
                </c:pt>
                <c:pt idx="9">
                  <c:v>33.085714285714282</c:v>
                </c:pt>
                <c:pt idx="10">
                  <c:v>34.4</c:v>
                </c:pt>
                <c:pt idx="11">
                  <c:v>32.585714285714289</c:v>
                </c:pt>
                <c:pt idx="12">
                  <c:v>28.466666666666672</c:v>
                </c:pt>
                <c:pt idx="13">
                  <c:v>33.091666666666661</c:v>
                </c:pt>
                <c:pt idx="14">
                  <c:v>35.866666666666667</c:v>
                </c:pt>
                <c:pt idx="15">
                  <c:v>30.533333333333331</c:v>
                </c:pt>
                <c:pt idx="16">
                  <c:v>34.450000000000003</c:v>
                </c:pt>
                <c:pt idx="17">
                  <c:v>28.9</c:v>
                </c:pt>
                <c:pt idx="18">
                  <c:v>36.65</c:v>
                </c:pt>
                <c:pt idx="19">
                  <c:v>35.65</c:v>
                </c:pt>
                <c:pt idx="20">
                  <c:v>34.200000000000003</c:v>
                </c:pt>
                <c:pt idx="21">
                  <c:v>31.566666666666663</c:v>
                </c:pt>
                <c:pt idx="22">
                  <c:v>35.637499999999996</c:v>
                </c:pt>
                <c:pt idx="23">
                  <c:v>39.35</c:v>
                </c:pt>
                <c:pt idx="24">
                  <c:v>37.266666666666673</c:v>
                </c:pt>
                <c:pt idx="25">
                  <c:v>34.245454545454542</c:v>
                </c:pt>
                <c:pt idx="26">
                  <c:v>33.962499999999999</c:v>
                </c:pt>
                <c:pt idx="27">
                  <c:v>31.35</c:v>
                </c:pt>
                <c:pt idx="28">
                  <c:v>39.025000000000006</c:v>
                </c:pt>
                <c:pt idx="29">
                  <c:v>37.979999999999997</c:v>
                </c:pt>
                <c:pt idx="30">
                  <c:v>34.35</c:v>
                </c:pt>
                <c:pt idx="31">
                  <c:v>34.68571428571429</c:v>
                </c:pt>
                <c:pt idx="32">
                  <c:v>34.125</c:v>
                </c:pt>
                <c:pt idx="33">
                  <c:v>31.625</c:v>
                </c:pt>
                <c:pt idx="34">
                  <c:v>37</c:v>
                </c:pt>
                <c:pt idx="35">
                  <c:v>32.918181818181814</c:v>
                </c:pt>
                <c:pt idx="36">
                  <c:v>35.024999999999999</c:v>
                </c:pt>
                <c:pt idx="37">
                  <c:v>34.5</c:v>
                </c:pt>
                <c:pt idx="38">
                  <c:v>34.019999999999996</c:v>
                </c:pt>
                <c:pt idx="39">
                  <c:v>37.220000000000006</c:v>
                </c:pt>
                <c:pt idx="40">
                  <c:v>33.28</c:v>
                </c:pt>
                <c:pt idx="41">
                  <c:v>33.799999999999997</c:v>
                </c:pt>
                <c:pt idx="42">
                  <c:v>33.799999999999997</c:v>
                </c:pt>
                <c:pt idx="43">
                  <c:v>37.799999999999997</c:v>
                </c:pt>
                <c:pt idx="44">
                  <c:v>33.407692307692308</c:v>
                </c:pt>
                <c:pt idx="45">
                  <c:v>30.080000000000002</c:v>
                </c:pt>
                <c:pt idx="46">
                  <c:v>34.5625</c:v>
                </c:pt>
                <c:pt idx="47">
                  <c:v>33.200000000000003</c:v>
                </c:pt>
                <c:pt idx="48">
                  <c:v>35.269999999999996</c:v>
                </c:pt>
                <c:pt idx="49">
                  <c:v>37.300000000000004</c:v>
                </c:pt>
                <c:pt idx="50">
                  <c:v>35.307142857142857</c:v>
                </c:pt>
                <c:pt idx="51">
                  <c:v>34.880000000000003</c:v>
                </c:pt>
                <c:pt idx="52">
                  <c:v>35.291999999999994</c:v>
                </c:pt>
                <c:pt idx="53">
                  <c:v>34.78</c:v>
                </c:pt>
                <c:pt idx="54">
                  <c:v>34.044999999999995</c:v>
                </c:pt>
                <c:pt idx="55">
                  <c:v>30.37</c:v>
                </c:pt>
                <c:pt idx="56">
                  <c:v>33.364444444444445</c:v>
                </c:pt>
                <c:pt idx="57">
                  <c:v>37.72</c:v>
                </c:pt>
                <c:pt idx="58">
                  <c:v>33.799999999999997</c:v>
                </c:pt>
                <c:pt idx="59">
                  <c:v>32.207500000000003</c:v>
                </c:pt>
                <c:pt idx="60">
                  <c:v>34.045000000000002</c:v>
                </c:pt>
                <c:pt idx="61">
                  <c:v>34.573928571428567</c:v>
                </c:pt>
                <c:pt idx="62">
                  <c:v>35.10285714285714</c:v>
                </c:pt>
                <c:pt idx="63">
                  <c:v>38.146666666666668</c:v>
                </c:pt>
                <c:pt idx="64">
                  <c:v>35.917111111111112</c:v>
                </c:pt>
                <c:pt idx="65">
                  <c:v>33.687555555555555</c:v>
                </c:pt>
                <c:pt idx="66">
                  <c:v>31.457999999999998</c:v>
                </c:pt>
                <c:pt idx="67">
                  <c:v>34.408000000000001</c:v>
                </c:pt>
                <c:pt idx="68">
                  <c:v>37.72</c:v>
                </c:pt>
                <c:pt idx="69">
                  <c:v>32.82</c:v>
                </c:pt>
                <c:pt idx="70">
                  <c:v>37.11</c:v>
                </c:pt>
                <c:pt idx="71">
                  <c:v>36.655000000000001</c:v>
                </c:pt>
                <c:pt idx="72">
                  <c:v>34.045000000000002</c:v>
                </c:pt>
                <c:pt idx="73">
                  <c:v>30.27333333333333</c:v>
                </c:pt>
                <c:pt idx="74">
                  <c:v>33.63666666666667</c:v>
                </c:pt>
                <c:pt idx="75">
                  <c:v>29.235000000000003</c:v>
                </c:pt>
                <c:pt idx="76">
                  <c:v>36.371111111111105</c:v>
                </c:pt>
                <c:pt idx="77">
                  <c:v>34.04</c:v>
                </c:pt>
                <c:pt idx="78">
                  <c:v>35.429999999999993</c:v>
                </c:pt>
                <c:pt idx="79">
                  <c:v>32.141538461538467</c:v>
                </c:pt>
                <c:pt idx="80">
                  <c:v>32.883529411764712</c:v>
                </c:pt>
                <c:pt idx="81">
                  <c:v>34.988888888888887</c:v>
                </c:pt>
                <c:pt idx="82">
                  <c:v>33.710909090909098</c:v>
                </c:pt>
                <c:pt idx="83">
                  <c:v>35.962500000000006</c:v>
                </c:pt>
                <c:pt idx="84">
                  <c:v>30.020000000000007</c:v>
                </c:pt>
                <c:pt idx="85">
                  <c:v>31.864999999999998</c:v>
                </c:pt>
                <c:pt idx="86">
                  <c:v>35.106666666666669</c:v>
                </c:pt>
                <c:pt idx="87">
                  <c:v>33.265454545454539</c:v>
                </c:pt>
                <c:pt idx="88">
                  <c:v>33.827272727272728</c:v>
                </c:pt>
                <c:pt idx="89">
                  <c:v>36.054545454545455</c:v>
                </c:pt>
                <c:pt idx="90">
                  <c:v>33.710909090909098</c:v>
                </c:pt>
                <c:pt idx="91">
                  <c:v>35.71142857142857</c:v>
                </c:pt>
                <c:pt idx="92">
                  <c:v>35.163636363636364</c:v>
                </c:pt>
                <c:pt idx="93">
                  <c:v>35.466666666666661</c:v>
                </c:pt>
                <c:pt idx="94">
                  <c:v>35.957142857142856</c:v>
                </c:pt>
                <c:pt idx="95">
                  <c:v>33.870000000000005</c:v>
                </c:pt>
                <c:pt idx="96">
                  <c:v>34.45333333333334</c:v>
                </c:pt>
                <c:pt idx="97">
                  <c:v>35.047272727272727</c:v>
                </c:pt>
                <c:pt idx="98">
                  <c:v>29.879999999999995</c:v>
                </c:pt>
                <c:pt idx="99">
                  <c:v>34.045000000000002</c:v>
                </c:pt>
                <c:pt idx="100">
                  <c:v>33.573846153846155</c:v>
                </c:pt>
                <c:pt idx="101">
                  <c:v>37.72</c:v>
                </c:pt>
                <c:pt idx="102">
                  <c:v>35.269999999999996</c:v>
                </c:pt>
                <c:pt idx="103">
                  <c:v>36.903333333333329</c:v>
                </c:pt>
                <c:pt idx="104">
                  <c:v>31.595000000000002</c:v>
                </c:pt>
                <c:pt idx="105">
                  <c:v>31.594999999999999</c:v>
                </c:pt>
                <c:pt idx="106">
                  <c:v>32.82</c:v>
                </c:pt>
                <c:pt idx="107">
                  <c:v>34.045000000000002</c:v>
                </c:pt>
                <c:pt idx="108">
                  <c:v>32.33</c:v>
                </c:pt>
                <c:pt idx="109">
                  <c:v>33.519999999999996</c:v>
                </c:pt>
                <c:pt idx="110">
                  <c:v>34.601818181818182</c:v>
                </c:pt>
                <c:pt idx="111">
                  <c:v>36.903333333333329</c:v>
                </c:pt>
                <c:pt idx="112">
                  <c:v>33.636666666666663</c:v>
                </c:pt>
                <c:pt idx="113">
                  <c:v>33.799999999999997</c:v>
                </c:pt>
                <c:pt idx="114">
                  <c:v>35.76</c:v>
                </c:pt>
                <c:pt idx="115">
                  <c:v>36.903333333333329</c:v>
                </c:pt>
                <c:pt idx="116">
                  <c:v>35.269999999999996</c:v>
                </c:pt>
                <c:pt idx="117">
                  <c:v>32.82</c:v>
                </c:pt>
                <c:pt idx="118">
                  <c:v>32.82</c:v>
                </c:pt>
                <c:pt idx="119">
                  <c:v>31.839999999999996</c:v>
                </c:pt>
                <c:pt idx="120">
                  <c:v>35.8825</c:v>
                </c:pt>
                <c:pt idx="121">
                  <c:v>32.819999999999993</c:v>
                </c:pt>
                <c:pt idx="122">
                  <c:v>32.82</c:v>
                </c:pt>
                <c:pt idx="123">
                  <c:v>32.00333333333333</c:v>
                </c:pt>
                <c:pt idx="124">
                  <c:v>34.453333333333333</c:v>
                </c:pt>
                <c:pt idx="125">
                  <c:v>30.37</c:v>
                </c:pt>
                <c:pt idx="126">
                  <c:v>30.370000000000005</c:v>
                </c:pt>
                <c:pt idx="127">
                  <c:v>32.82</c:v>
                </c:pt>
                <c:pt idx="128">
                  <c:v>31.483636363636364</c:v>
                </c:pt>
                <c:pt idx="129">
                  <c:v>27.919999999999998</c:v>
                </c:pt>
                <c:pt idx="130">
                  <c:v>28.9</c:v>
                </c:pt>
                <c:pt idx="131">
                  <c:v>27.92</c:v>
                </c:pt>
                <c:pt idx="132">
                  <c:v>29.145000000000003</c:v>
                </c:pt>
                <c:pt idx="133">
                  <c:v>30.860000000000003</c:v>
                </c:pt>
                <c:pt idx="134">
                  <c:v>32.82</c:v>
                </c:pt>
                <c:pt idx="135">
                  <c:v>28.736666666666665</c:v>
                </c:pt>
                <c:pt idx="136">
                  <c:v>32.82</c:v>
                </c:pt>
                <c:pt idx="137">
                  <c:v>30.37</c:v>
                </c:pt>
                <c:pt idx="138">
                  <c:v>27.92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BA-4439-B313-594A774B7E99}"/>
            </c:ext>
          </c:extLst>
        </c:ser>
        <c:ser>
          <c:idx val="1"/>
          <c:order val="1"/>
          <c:tx>
            <c:strRef>
              <c:f>'Forecast '!$C$1</c:f>
              <c:strCache>
                <c:ptCount val="1"/>
                <c:pt idx="0">
                  <c:v>Forecast(Sales)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 '!$A$2:$A$279</c:f>
              <c:numCache>
                <c:formatCode>m/d/yyyy</c:formatCode>
                <c:ptCount val="278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  <c:pt idx="30">
                  <c:v>45382</c:v>
                </c:pt>
                <c:pt idx="31">
                  <c:v>45383</c:v>
                </c:pt>
                <c:pt idx="32">
                  <c:v>45384</c:v>
                </c:pt>
                <c:pt idx="33">
                  <c:v>45385</c:v>
                </c:pt>
                <c:pt idx="34">
                  <c:v>45386</c:v>
                </c:pt>
                <c:pt idx="35">
                  <c:v>45387</c:v>
                </c:pt>
                <c:pt idx="36">
                  <c:v>45388</c:v>
                </c:pt>
                <c:pt idx="37">
                  <c:v>45389</c:v>
                </c:pt>
                <c:pt idx="38">
                  <c:v>45390</c:v>
                </c:pt>
                <c:pt idx="39">
                  <c:v>45391</c:v>
                </c:pt>
                <c:pt idx="40">
                  <c:v>45392</c:v>
                </c:pt>
                <c:pt idx="41">
                  <c:v>45393</c:v>
                </c:pt>
                <c:pt idx="42">
                  <c:v>45394</c:v>
                </c:pt>
                <c:pt idx="43">
                  <c:v>45395</c:v>
                </c:pt>
                <c:pt idx="44">
                  <c:v>45396</c:v>
                </c:pt>
                <c:pt idx="45">
                  <c:v>45397</c:v>
                </c:pt>
                <c:pt idx="46">
                  <c:v>45398</c:v>
                </c:pt>
                <c:pt idx="47">
                  <c:v>45399</c:v>
                </c:pt>
                <c:pt idx="48">
                  <c:v>45400</c:v>
                </c:pt>
                <c:pt idx="49">
                  <c:v>45401</c:v>
                </c:pt>
                <c:pt idx="50">
                  <c:v>45402</c:v>
                </c:pt>
                <c:pt idx="51">
                  <c:v>45403</c:v>
                </c:pt>
                <c:pt idx="52">
                  <c:v>45404</c:v>
                </c:pt>
                <c:pt idx="53">
                  <c:v>45405</c:v>
                </c:pt>
                <c:pt idx="54">
                  <c:v>45406</c:v>
                </c:pt>
                <c:pt idx="55">
                  <c:v>45407</c:v>
                </c:pt>
                <c:pt idx="56">
                  <c:v>45408</c:v>
                </c:pt>
                <c:pt idx="57">
                  <c:v>45409</c:v>
                </c:pt>
                <c:pt idx="58">
                  <c:v>45410</c:v>
                </c:pt>
                <c:pt idx="59">
                  <c:v>45411</c:v>
                </c:pt>
                <c:pt idx="60">
                  <c:v>45412</c:v>
                </c:pt>
                <c:pt idx="61">
                  <c:v>45413</c:v>
                </c:pt>
                <c:pt idx="62">
                  <c:v>45414</c:v>
                </c:pt>
                <c:pt idx="63">
                  <c:v>45415</c:v>
                </c:pt>
                <c:pt idx="64">
                  <c:v>45416</c:v>
                </c:pt>
                <c:pt idx="65">
                  <c:v>45417</c:v>
                </c:pt>
                <c:pt idx="66">
                  <c:v>45418</c:v>
                </c:pt>
                <c:pt idx="67">
                  <c:v>45419</c:v>
                </c:pt>
                <c:pt idx="68">
                  <c:v>45420</c:v>
                </c:pt>
                <c:pt idx="69">
                  <c:v>45421</c:v>
                </c:pt>
                <c:pt idx="70">
                  <c:v>45422</c:v>
                </c:pt>
                <c:pt idx="71">
                  <c:v>45423</c:v>
                </c:pt>
                <c:pt idx="72">
                  <c:v>45424</c:v>
                </c:pt>
                <c:pt idx="73">
                  <c:v>45425</c:v>
                </c:pt>
                <c:pt idx="74">
                  <c:v>45426</c:v>
                </c:pt>
                <c:pt idx="75">
                  <c:v>45427</c:v>
                </c:pt>
                <c:pt idx="76">
                  <c:v>45428</c:v>
                </c:pt>
                <c:pt idx="77">
                  <c:v>45429</c:v>
                </c:pt>
                <c:pt idx="78">
                  <c:v>45430</c:v>
                </c:pt>
                <c:pt idx="79">
                  <c:v>45431</c:v>
                </c:pt>
                <c:pt idx="80">
                  <c:v>45432</c:v>
                </c:pt>
                <c:pt idx="81">
                  <c:v>45433</c:v>
                </c:pt>
                <c:pt idx="82">
                  <c:v>45434</c:v>
                </c:pt>
                <c:pt idx="83">
                  <c:v>45435</c:v>
                </c:pt>
                <c:pt idx="84">
                  <c:v>45436</c:v>
                </c:pt>
                <c:pt idx="85">
                  <c:v>45437</c:v>
                </c:pt>
                <c:pt idx="86">
                  <c:v>45438</c:v>
                </c:pt>
                <c:pt idx="87">
                  <c:v>45439</c:v>
                </c:pt>
                <c:pt idx="88">
                  <c:v>45440</c:v>
                </c:pt>
                <c:pt idx="89">
                  <c:v>45441</c:v>
                </c:pt>
                <c:pt idx="90">
                  <c:v>45442</c:v>
                </c:pt>
                <c:pt idx="91">
                  <c:v>45443</c:v>
                </c:pt>
                <c:pt idx="92">
                  <c:v>45444</c:v>
                </c:pt>
                <c:pt idx="93">
                  <c:v>45445</c:v>
                </c:pt>
                <c:pt idx="94">
                  <c:v>45446</c:v>
                </c:pt>
                <c:pt idx="95">
                  <c:v>45447</c:v>
                </c:pt>
                <c:pt idx="96">
                  <c:v>45448</c:v>
                </c:pt>
                <c:pt idx="97">
                  <c:v>45449</c:v>
                </c:pt>
                <c:pt idx="98">
                  <c:v>45450</c:v>
                </c:pt>
                <c:pt idx="99">
                  <c:v>45451</c:v>
                </c:pt>
                <c:pt idx="100">
                  <c:v>45452</c:v>
                </c:pt>
                <c:pt idx="101">
                  <c:v>45453</c:v>
                </c:pt>
                <c:pt idx="102">
                  <c:v>45454</c:v>
                </c:pt>
                <c:pt idx="103">
                  <c:v>45455</c:v>
                </c:pt>
                <c:pt idx="104">
                  <c:v>45456</c:v>
                </c:pt>
                <c:pt idx="105">
                  <c:v>45457</c:v>
                </c:pt>
                <c:pt idx="106">
                  <c:v>45458</c:v>
                </c:pt>
                <c:pt idx="107">
                  <c:v>45459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45465</c:v>
                </c:pt>
                <c:pt idx="114">
                  <c:v>45466</c:v>
                </c:pt>
                <c:pt idx="115">
                  <c:v>45467</c:v>
                </c:pt>
                <c:pt idx="116">
                  <c:v>45468</c:v>
                </c:pt>
                <c:pt idx="117">
                  <c:v>45469</c:v>
                </c:pt>
                <c:pt idx="118">
                  <c:v>45470</c:v>
                </c:pt>
                <c:pt idx="119">
                  <c:v>45471</c:v>
                </c:pt>
                <c:pt idx="120">
                  <c:v>45472</c:v>
                </c:pt>
                <c:pt idx="121">
                  <c:v>45473</c:v>
                </c:pt>
                <c:pt idx="122">
                  <c:v>45474</c:v>
                </c:pt>
                <c:pt idx="123">
                  <c:v>45475</c:v>
                </c:pt>
                <c:pt idx="124">
                  <c:v>45476</c:v>
                </c:pt>
                <c:pt idx="125">
                  <c:v>45477</c:v>
                </c:pt>
                <c:pt idx="126">
                  <c:v>45478</c:v>
                </c:pt>
                <c:pt idx="127">
                  <c:v>45479</c:v>
                </c:pt>
                <c:pt idx="128">
                  <c:v>45480</c:v>
                </c:pt>
                <c:pt idx="129">
                  <c:v>45481</c:v>
                </c:pt>
                <c:pt idx="130">
                  <c:v>45482</c:v>
                </c:pt>
                <c:pt idx="131">
                  <c:v>45483</c:v>
                </c:pt>
                <c:pt idx="132">
                  <c:v>45484</c:v>
                </c:pt>
                <c:pt idx="133">
                  <c:v>45485</c:v>
                </c:pt>
                <c:pt idx="134">
                  <c:v>45486</c:v>
                </c:pt>
                <c:pt idx="135">
                  <c:v>45487</c:v>
                </c:pt>
                <c:pt idx="136">
                  <c:v>45488</c:v>
                </c:pt>
                <c:pt idx="137">
                  <c:v>45489</c:v>
                </c:pt>
                <c:pt idx="138">
                  <c:v>45490</c:v>
                </c:pt>
                <c:pt idx="139">
                  <c:v>45491</c:v>
                </c:pt>
                <c:pt idx="140">
                  <c:v>45492</c:v>
                </c:pt>
                <c:pt idx="141">
                  <c:v>45493</c:v>
                </c:pt>
                <c:pt idx="142">
                  <c:v>45494</c:v>
                </c:pt>
                <c:pt idx="143">
                  <c:v>45495</c:v>
                </c:pt>
                <c:pt idx="144">
                  <c:v>45496</c:v>
                </c:pt>
                <c:pt idx="145">
                  <c:v>45497</c:v>
                </c:pt>
                <c:pt idx="146">
                  <c:v>45498</c:v>
                </c:pt>
                <c:pt idx="147">
                  <c:v>45499</c:v>
                </c:pt>
                <c:pt idx="148">
                  <c:v>45500</c:v>
                </c:pt>
                <c:pt idx="149">
                  <c:v>45501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45507</c:v>
                </c:pt>
                <c:pt idx="156">
                  <c:v>45508</c:v>
                </c:pt>
                <c:pt idx="157">
                  <c:v>45509</c:v>
                </c:pt>
                <c:pt idx="158">
                  <c:v>45510</c:v>
                </c:pt>
                <c:pt idx="159">
                  <c:v>45511</c:v>
                </c:pt>
                <c:pt idx="160">
                  <c:v>45512</c:v>
                </c:pt>
                <c:pt idx="161">
                  <c:v>45513</c:v>
                </c:pt>
                <c:pt idx="162">
                  <c:v>45514</c:v>
                </c:pt>
                <c:pt idx="163">
                  <c:v>45515</c:v>
                </c:pt>
                <c:pt idx="164">
                  <c:v>45516</c:v>
                </c:pt>
                <c:pt idx="165">
                  <c:v>45517</c:v>
                </c:pt>
                <c:pt idx="166">
                  <c:v>45518</c:v>
                </c:pt>
                <c:pt idx="167">
                  <c:v>45519</c:v>
                </c:pt>
                <c:pt idx="168">
                  <c:v>45520</c:v>
                </c:pt>
                <c:pt idx="169">
                  <c:v>45521</c:v>
                </c:pt>
                <c:pt idx="170">
                  <c:v>45522</c:v>
                </c:pt>
                <c:pt idx="171">
                  <c:v>45523</c:v>
                </c:pt>
                <c:pt idx="172">
                  <c:v>45524</c:v>
                </c:pt>
                <c:pt idx="173">
                  <c:v>45525</c:v>
                </c:pt>
                <c:pt idx="174">
                  <c:v>45526</c:v>
                </c:pt>
                <c:pt idx="175">
                  <c:v>45527</c:v>
                </c:pt>
                <c:pt idx="176">
                  <c:v>45528</c:v>
                </c:pt>
                <c:pt idx="177">
                  <c:v>45529</c:v>
                </c:pt>
                <c:pt idx="178">
                  <c:v>45530</c:v>
                </c:pt>
                <c:pt idx="179">
                  <c:v>45531</c:v>
                </c:pt>
                <c:pt idx="180">
                  <c:v>45532</c:v>
                </c:pt>
                <c:pt idx="181">
                  <c:v>45533</c:v>
                </c:pt>
                <c:pt idx="182">
                  <c:v>45534</c:v>
                </c:pt>
                <c:pt idx="183">
                  <c:v>45535</c:v>
                </c:pt>
                <c:pt idx="184">
                  <c:v>45536</c:v>
                </c:pt>
                <c:pt idx="185">
                  <c:v>45537</c:v>
                </c:pt>
                <c:pt idx="186">
                  <c:v>45538</c:v>
                </c:pt>
                <c:pt idx="187">
                  <c:v>45539</c:v>
                </c:pt>
                <c:pt idx="188">
                  <c:v>45540</c:v>
                </c:pt>
                <c:pt idx="189">
                  <c:v>45541</c:v>
                </c:pt>
                <c:pt idx="190">
                  <c:v>45542</c:v>
                </c:pt>
                <c:pt idx="191">
                  <c:v>45543</c:v>
                </c:pt>
                <c:pt idx="192">
                  <c:v>45544</c:v>
                </c:pt>
                <c:pt idx="193">
                  <c:v>45545</c:v>
                </c:pt>
                <c:pt idx="194">
                  <c:v>45546</c:v>
                </c:pt>
                <c:pt idx="195">
                  <c:v>45547</c:v>
                </c:pt>
                <c:pt idx="196">
                  <c:v>45548</c:v>
                </c:pt>
                <c:pt idx="197">
                  <c:v>45549</c:v>
                </c:pt>
                <c:pt idx="198">
                  <c:v>45550</c:v>
                </c:pt>
                <c:pt idx="199">
                  <c:v>45551</c:v>
                </c:pt>
                <c:pt idx="200">
                  <c:v>45552</c:v>
                </c:pt>
                <c:pt idx="201">
                  <c:v>45553</c:v>
                </c:pt>
                <c:pt idx="202">
                  <c:v>45554</c:v>
                </c:pt>
                <c:pt idx="203">
                  <c:v>45555</c:v>
                </c:pt>
                <c:pt idx="204">
                  <c:v>45556</c:v>
                </c:pt>
                <c:pt idx="205">
                  <c:v>45557</c:v>
                </c:pt>
                <c:pt idx="206">
                  <c:v>45558</c:v>
                </c:pt>
                <c:pt idx="207">
                  <c:v>45559</c:v>
                </c:pt>
                <c:pt idx="208">
                  <c:v>45560</c:v>
                </c:pt>
                <c:pt idx="209">
                  <c:v>45561</c:v>
                </c:pt>
                <c:pt idx="210">
                  <c:v>45562</c:v>
                </c:pt>
                <c:pt idx="211">
                  <c:v>45563</c:v>
                </c:pt>
                <c:pt idx="212">
                  <c:v>45564</c:v>
                </c:pt>
                <c:pt idx="213">
                  <c:v>45565</c:v>
                </c:pt>
                <c:pt idx="214">
                  <c:v>45566</c:v>
                </c:pt>
                <c:pt idx="215">
                  <c:v>45567</c:v>
                </c:pt>
                <c:pt idx="216">
                  <c:v>45568</c:v>
                </c:pt>
                <c:pt idx="217">
                  <c:v>45569</c:v>
                </c:pt>
                <c:pt idx="218">
                  <c:v>45570</c:v>
                </c:pt>
                <c:pt idx="219">
                  <c:v>45571</c:v>
                </c:pt>
                <c:pt idx="220">
                  <c:v>45572</c:v>
                </c:pt>
                <c:pt idx="221">
                  <c:v>45573</c:v>
                </c:pt>
                <c:pt idx="222">
                  <c:v>45574</c:v>
                </c:pt>
                <c:pt idx="223">
                  <c:v>45575</c:v>
                </c:pt>
                <c:pt idx="224">
                  <c:v>45576</c:v>
                </c:pt>
                <c:pt idx="225">
                  <c:v>45577</c:v>
                </c:pt>
                <c:pt idx="226">
                  <c:v>45578</c:v>
                </c:pt>
                <c:pt idx="227">
                  <c:v>45579</c:v>
                </c:pt>
                <c:pt idx="228">
                  <c:v>45580</c:v>
                </c:pt>
                <c:pt idx="229">
                  <c:v>45581</c:v>
                </c:pt>
                <c:pt idx="230">
                  <c:v>45582</c:v>
                </c:pt>
                <c:pt idx="231">
                  <c:v>45583</c:v>
                </c:pt>
                <c:pt idx="232">
                  <c:v>45584</c:v>
                </c:pt>
                <c:pt idx="233">
                  <c:v>45585</c:v>
                </c:pt>
                <c:pt idx="234">
                  <c:v>45586</c:v>
                </c:pt>
                <c:pt idx="235">
                  <c:v>45587</c:v>
                </c:pt>
                <c:pt idx="236">
                  <c:v>45588</c:v>
                </c:pt>
                <c:pt idx="237">
                  <c:v>45589</c:v>
                </c:pt>
                <c:pt idx="238">
                  <c:v>45590</c:v>
                </c:pt>
                <c:pt idx="239">
                  <c:v>45591</c:v>
                </c:pt>
                <c:pt idx="240">
                  <c:v>45592</c:v>
                </c:pt>
                <c:pt idx="241">
                  <c:v>45593</c:v>
                </c:pt>
                <c:pt idx="242">
                  <c:v>45594</c:v>
                </c:pt>
                <c:pt idx="243">
                  <c:v>45595</c:v>
                </c:pt>
                <c:pt idx="244">
                  <c:v>45596</c:v>
                </c:pt>
                <c:pt idx="245">
                  <c:v>45597</c:v>
                </c:pt>
                <c:pt idx="246">
                  <c:v>45598</c:v>
                </c:pt>
                <c:pt idx="247">
                  <c:v>45599</c:v>
                </c:pt>
                <c:pt idx="248">
                  <c:v>45600</c:v>
                </c:pt>
                <c:pt idx="249">
                  <c:v>45601</c:v>
                </c:pt>
                <c:pt idx="250">
                  <c:v>45602</c:v>
                </c:pt>
                <c:pt idx="251">
                  <c:v>45603</c:v>
                </c:pt>
                <c:pt idx="252">
                  <c:v>45604</c:v>
                </c:pt>
                <c:pt idx="253">
                  <c:v>45605</c:v>
                </c:pt>
                <c:pt idx="254">
                  <c:v>45606</c:v>
                </c:pt>
                <c:pt idx="255">
                  <c:v>45607</c:v>
                </c:pt>
                <c:pt idx="256">
                  <c:v>45608</c:v>
                </c:pt>
                <c:pt idx="257">
                  <c:v>45609</c:v>
                </c:pt>
                <c:pt idx="258">
                  <c:v>45610</c:v>
                </c:pt>
                <c:pt idx="259">
                  <c:v>45611</c:v>
                </c:pt>
                <c:pt idx="260">
                  <c:v>45612</c:v>
                </c:pt>
                <c:pt idx="261">
                  <c:v>45613</c:v>
                </c:pt>
                <c:pt idx="262">
                  <c:v>45614</c:v>
                </c:pt>
                <c:pt idx="263">
                  <c:v>45615</c:v>
                </c:pt>
                <c:pt idx="264">
                  <c:v>45616</c:v>
                </c:pt>
                <c:pt idx="265">
                  <c:v>45617</c:v>
                </c:pt>
                <c:pt idx="266">
                  <c:v>45618</c:v>
                </c:pt>
                <c:pt idx="267">
                  <c:v>45619</c:v>
                </c:pt>
                <c:pt idx="268">
                  <c:v>45620</c:v>
                </c:pt>
                <c:pt idx="269">
                  <c:v>45621</c:v>
                </c:pt>
                <c:pt idx="270">
                  <c:v>45622</c:v>
                </c:pt>
                <c:pt idx="271">
                  <c:v>45623</c:v>
                </c:pt>
                <c:pt idx="272">
                  <c:v>45624</c:v>
                </c:pt>
                <c:pt idx="273">
                  <c:v>45625</c:v>
                </c:pt>
                <c:pt idx="274">
                  <c:v>45626</c:v>
                </c:pt>
                <c:pt idx="275">
                  <c:v>45627</c:v>
                </c:pt>
                <c:pt idx="276">
                  <c:v>45628</c:v>
                </c:pt>
                <c:pt idx="277">
                  <c:v>45629</c:v>
                </c:pt>
              </c:numCache>
            </c:numRef>
          </c:cat>
          <c:val>
            <c:numRef>
              <c:f>'Forecast '!$C$2:$C$279</c:f>
              <c:numCache>
                <c:formatCode>General</c:formatCode>
                <c:ptCount val="278"/>
                <c:pt idx="138" formatCode="0.0">
                  <c:v>27.92</c:v>
                </c:pt>
                <c:pt idx="139" formatCode="0.0">
                  <c:v>30.396550097473821</c:v>
                </c:pt>
                <c:pt idx="140" formatCode="0.0">
                  <c:v>30.357816153683309</c:v>
                </c:pt>
                <c:pt idx="141" formatCode="0.0">
                  <c:v>30.319082209892784</c:v>
                </c:pt>
                <c:pt idx="142" formatCode="0.0">
                  <c:v>30.280348266102269</c:v>
                </c:pt>
                <c:pt idx="143" formatCode="0.0">
                  <c:v>30.241614322311744</c:v>
                </c:pt>
                <c:pt idx="144" formatCode="0.0">
                  <c:v>30.202880378521233</c:v>
                </c:pt>
                <c:pt idx="145" formatCode="0.0">
                  <c:v>30.164146434730707</c:v>
                </c:pt>
                <c:pt idx="146" formatCode="0.0">
                  <c:v>30.125412490940196</c:v>
                </c:pt>
                <c:pt idx="147" formatCode="0.0">
                  <c:v>30.08667854714967</c:v>
                </c:pt>
                <c:pt idx="148" formatCode="0.0">
                  <c:v>30.047944603359159</c:v>
                </c:pt>
                <c:pt idx="149" formatCode="0.0">
                  <c:v>30.009210659568634</c:v>
                </c:pt>
                <c:pt idx="150" formatCode="0.0">
                  <c:v>29.970476715778123</c:v>
                </c:pt>
                <c:pt idx="151" formatCode="0.0">
                  <c:v>29.931742771987594</c:v>
                </c:pt>
                <c:pt idx="152" formatCode="0.0">
                  <c:v>29.893008828197082</c:v>
                </c:pt>
                <c:pt idx="153" formatCode="0.0">
                  <c:v>29.854274884406557</c:v>
                </c:pt>
                <c:pt idx="154" formatCode="0.0">
                  <c:v>29.815540940616046</c:v>
                </c:pt>
                <c:pt idx="155" formatCode="0.0">
                  <c:v>29.77680699682552</c:v>
                </c:pt>
                <c:pt idx="156" formatCode="0.0">
                  <c:v>29.738073053035009</c:v>
                </c:pt>
                <c:pt idx="157" formatCode="0.0">
                  <c:v>29.699339109244484</c:v>
                </c:pt>
                <c:pt idx="158" formatCode="0.0">
                  <c:v>29.660605165453969</c:v>
                </c:pt>
                <c:pt idx="159" formatCode="0.0">
                  <c:v>29.621871221663444</c:v>
                </c:pt>
                <c:pt idx="160" formatCode="0.0">
                  <c:v>29.583137277872932</c:v>
                </c:pt>
                <c:pt idx="161" formatCode="0.0">
                  <c:v>29.544403334082407</c:v>
                </c:pt>
                <c:pt idx="162" formatCode="0.0">
                  <c:v>29.505669390291896</c:v>
                </c:pt>
                <c:pt idx="163" formatCode="0.0">
                  <c:v>29.46693544650137</c:v>
                </c:pt>
                <c:pt idx="164" formatCode="0.0">
                  <c:v>29.428201502710859</c:v>
                </c:pt>
                <c:pt idx="165" formatCode="0.0">
                  <c:v>29.389467558920334</c:v>
                </c:pt>
                <c:pt idx="166" formatCode="0.0">
                  <c:v>29.350733615129823</c:v>
                </c:pt>
                <c:pt idx="167" formatCode="0.0">
                  <c:v>29.311999671339294</c:v>
                </c:pt>
                <c:pt idx="168" formatCode="0.0">
                  <c:v>29.273265727548782</c:v>
                </c:pt>
                <c:pt idx="169" formatCode="0.0">
                  <c:v>29.234531783758257</c:v>
                </c:pt>
                <c:pt idx="170" formatCode="0.0">
                  <c:v>29.195797839967746</c:v>
                </c:pt>
                <c:pt idx="171" formatCode="0.0">
                  <c:v>29.15706389617722</c:v>
                </c:pt>
                <c:pt idx="172" formatCode="0.0">
                  <c:v>29.118329952386709</c:v>
                </c:pt>
                <c:pt idx="173" formatCode="0.0">
                  <c:v>29.079596008596184</c:v>
                </c:pt>
                <c:pt idx="174" formatCode="0.0">
                  <c:v>29.040862064805669</c:v>
                </c:pt>
                <c:pt idx="175" formatCode="0.0">
                  <c:v>29.002128121015144</c:v>
                </c:pt>
                <c:pt idx="176" formatCode="0.0">
                  <c:v>28.963394177224632</c:v>
                </c:pt>
                <c:pt idx="177" formatCode="0.0">
                  <c:v>28.924660233434107</c:v>
                </c:pt>
                <c:pt idx="178" formatCode="0.0">
                  <c:v>28.885926289643596</c:v>
                </c:pt>
                <c:pt idx="179" formatCode="0.0">
                  <c:v>28.84719234585307</c:v>
                </c:pt>
                <c:pt idx="180" formatCode="0.0">
                  <c:v>28.808458402062559</c:v>
                </c:pt>
                <c:pt idx="181" formatCode="0.0">
                  <c:v>28.769724458272034</c:v>
                </c:pt>
                <c:pt idx="182" formatCode="0.0">
                  <c:v>28.730990514481523</c:v>
                </c:pt>
                <c:pt idx="183" formatCode="0.0">
                  <c:v>28.692256570690994</c:v>
                </c:pt>
                <c:pt idx="184" formatCode="0.0">
                  <c:v>28.653522626900482</c:v>
                </c:pt>
                <c:pt idx="185" formatCode="0.0">
                  <c:v>28.614788683109957</c:v>
                </c:pt>
                <c:pt idx="186" formatCode="0.0">
                  <c:v>28.576054739319446</c:v>
                </c:pt>
                <c:pt idx="187" formatCode="0.0">
                  <c:v>28.53732079552892</c:v>
                </c:pt>
                <c:pt idx="188" formatCode="0.0">
                  <c:v>28.498586851738409</c:v>
                </c:pt>
                <c:pt idx="189" formatCode="0.0">
                  <c:v>28.459852907947884</c:v>
                </c:pt>
                <c:pt idx="190" formatCode="0.0">
                  <c:v>28.421118964157369</c:v>
                </c:pt>
                <c:pt idx="191" formatCode="0.0">
                  <c:v>28.382385020366844</c:v>
                </c:pt>
                <c:pt idx="192" formatCode="0.0">
                  <c:v>28.343651076576332</c:v>
                </c:pt>
                <c:pt idx="193" formatCode="0.0">
                  <c:v>28.304917132785807</c:v>
                </c:pt>
                <c:pt idx="194" formatCode="0.0">
                  <c:v>28.266183188995296</c:v>
                </c:pt>
                <c:pt idx="195" formatCode="0.0">
                  <c:v>28.22744924520477</c:v>
                </c:pt>
                <c:pt idx="196" formatCode="0.0">
                  <c:v>28.188715301414259</c:v>
                </c:pt>
                <c:pt idx="197" formatCode="0.0">
                  <c:v>28.149981357623734</c:v>
                </c:pt>
                <c:pt idx="198" formatCode="0.0">
                  <c:v>28.111247413833222</c:v>
                </c:pt>
                <c:pt idx="199" formatCode="0.0">
                  <c:v>28.072513470042693</c:v>
                </c:pt>
                <c:pt idx="200" formatCode="0.0">
                  <c:v>28.033779526252182</c:v>
                </c:pt>
                <c:pt idx="201" formatCode="0.0">
                  <c:v>27.995045582461657</c:v>
                </c:pt>
                <c:pt idx="202" formatCode="0.0">
                  <c:v>27.956311638671146</c:v>
                </c:pt>
                <c:pt idx="203" formatCode="0.0">
                  <c:v>27.91757769488062</c:v>
                </c:pt>
                <c:pt idx="204" formatCode="0.0">
                  <c:v>27.878843751090109</c:v>
                </c:pt>
                <c:pt idx="205" formatCode="0.0">
                  <c:v>27.840109807299584</c:v>
                </c:pt>
                <c:pt idx="206" formatCode="0.0">
                  <c:v>27.801375863509069</c:v>
                </c:pt>
                <c:pt idx="207" formatCode="0.0">
                  <c:v>27.762641919718543</c:v>
                </c:pt>
                <c:pt idx="208" formatCode="0.0">
                  <c:v>27.723907975928032</c:v>
                </c:pt>
                <c:pt idx="209" formatCode="0.0">
                  <c:v>27.685174032137507</c:v>
                </c:pt>
                <c:pt idx="210" formatCode="0.0">
                  <c:v>27.646440088346996</c:v>
                </c:pt>
                <c:pt idx="211" formatCode="0.0">
                  <c:v>27.60770614455647</c:v>
                </c:pt>
                <c:pt idx="212" formatCode="0.0">
                  <c:v>27.568972200765959</c:v>
                </c:pt>
                <c:pt idx="213" formatCode="0.0">
                  <c:v>27.530238256975434</c:v>
                </c:pt>
                <c:pt idx="214" formatCode="0.0">
                  <c:v>27.491504313184922</c:v>
                </c:pt>
                <c:pt idx="215" formatCode="0.0">
                  <c:v>27.452770369394393</c:v>
                </c:pt>
                <c:pt idx="216" formatCode="0.0">
                  <c:v>27.414036425603882</c:v>
                </c:pt>
                <c:pt idx="217" formatCode="0.0">
                  <c:v>27.375302481813357</c:v>
                </c:pt>
                <c:pt idx="218" formatCode="0.0">
                  <c:v>27.336568538022846</c:v>
                </c:pt>
                <c:pt idx="219" formatCode="0.0">
                  <c:v>27.29783459423232</c:v>
                </c:pt>
                <c:pt idx="220" formatCode="0.0">
                  <c:v>27.259100650441809</c:v>
                </c:pt>
                <c:pt idx="221" formatCode="0.0">
                  <c:v>27.220366706651284</c:v>
                </c:pt>
                <c:pt idx="222" formatCode="0.0">
                  <c:v>27.181632762860769</c:v>
                </c:pt>
                <c:pt idx="223" formatCode="0.0">
                  <c:v>27.142898819070243</c:v>
                </c:pt>
                <c:pt idx="224" formatCode="0.0">
                  <c:v>27.104164875279732</c:v>
                </c:pt>
                <c:pt idx="225" formatCode="0.0">
                  <c:v>27.065430931489207</c:v>
                </c:pt>
                <c:pt idx="226" formatCode="0.0">
                  <c:v>27.026696987698696</c:v>
                </c:pt>
                <c:pt idx="227" formatCode="0.0">
                  <c:v>26.98796304390817</c:v>
                </c:pt>
                <c:pt idx="228" formatCode="0.0">
                  <c:v>26.949229100117659</c:v>
                </c:pt>
                <c:pt idx="229" formatCode="0.0">
                  <c:v>26.910495156327134</c:v>
                </c:pt>
                <c:pt idx="230" formatCode="0.0">
                  <c:v>26.871761212536622</c:v>
                </c:pt>
                <c:pt idx="231" formatCode="0.0">
                  <c:v>26.833027268746093</c:v>
                </c:pt>
                <c:pt idx="232" formatCode="0.0">
                  <c:v>26.794293324955582</c:v>
                </c:pt>
                <c:pt idx="233" formatCode="0.0">
                  <c:v>26.755559381165057</c:v>
                </c:pt>
                <c:pt idx="234" formatCode="0.0">
                  <c:v>26.716825437374546</c:v>
                </c:pt>
                <c:pt idx="235" formatCode="0.0">
                  <c:v>26.67809149358402</c:v>
                </c:pt>
                <c:pt idx="236" formatCode="0.0">
                  <c:v>26.639357549793509</c:v>
                </c:pt>
                <c:pt idx="237" formatCode="0.0">
                  <c:v>26.600623606002983</c:v>
                </c:pt>
                <c:pt idx="238" formatCode="0.0">
                  <c:v>26.561889662212469</c:v>
                </c:pt>
                <c:pt idx="239" formatCode="0.0">
                  <c:v>26.523155718421943</c:v>
                </c:pt>
                <c:pt idx="240" formatCode="0.0">
                  <c:v>26.484421774631432</c:v>
                </c:pt>
                <c:pt idx="241" formatCode="0.0">
                  <c:v>26.445687830840907</c:v>
                </c:pt>
                <c:pt idx="242" formatCode="0.0">
                  <c:v>26.406953887050395</c:v>
                </c:pt>
                <c:pt idx="243" formatCode="0.0">
                  <c:v>26.36821994325987</c:v>
                </c:pt>
                <c:pt idx="244" formatCode="0.0">
                  <c:v>26.329485999469359</c:v>
                </c:pt>
                <c:pt idx="245" formatCode="0.0">
                  <c:v>26.290752055678833</c:v>
                </c:pt>
                <c:pt idx="246" formatCode="0.0">
                  <c:v>26.252018111888322</c:v>
                </c:pt>
                <c:pt idx="247" formatCode="0.0">
                  <c:v>26.213284168097797</c:v>
                </c:pt>
                <c:pt idx="248" formatCode="0.0">
                  <c:v>26.174550224307282</c:v>
                </c:pt>
                <c:pt idx="249" formatCode="0.0">
                  <c:v>26.135816280516757</c:v>
                </c:pt>
                <c:pt idx="250" formatCode="0.0">
                  <c:v>26.097082336726245</c:v>
                </c:pt>
                <c:pt idx="251" formatCode="0.0">
                  <c:v>26.05834839293572</c:v>
                </c:pt>
                <c:pt idx="252" formatCode="0.0">
                  <c:v>26.019614449145209</c:v>
                </c:pt>
                <c:pt idx="253" formatCode="0.0">
                  <c:v>25.98088050535468</c:v>
                </c:pt>
                <c:pt idx="254" formatCode="0.0">
                  <c:v>25.942146561564169</c:v>
                </c:pt>
                <c:pt idx="255" formatCode="0.0">
                  <c:v>25.903412617773643</c:v>
                </c:pt>
                <c:pt idx="256" formatCode="0.0">
                  <c:v>25.864678673983132</c:v>
                </c:pt>
                <c:pt idx="257" formatCode="0.0">
                  <c:v>25.825944730192607</c:v>
                </c:pt>
                <c:pt idx="258" formatCode="0.0">
                  <c:v>25.787210786402095</c:v>
                </c:pt>
                <c:pt idx="259" formatCode="0.0">
                  <c:v>25.74847684261157</c:v>
                </c:pt>
                <c:pt idx="260" formatCode="0.0">
                  <c:v>25.709742898821059</c:v>
                </c:pt>
                <c:pt idx="261" formatCode="0.0">
                  <c:v>25.671008955030533</c:v>
                </c:pt>
                <c:pt idx="262" formatCode="0.0">
                  <c:v>25.632275011240022</c:v>
                </c:pt>
                <c:pt idx="263" formatCode="0.0">
                  <c:v>25.593541067449497</c:v>
                </c:pt>
                <c:pt idx="264" formatCode="0.0">
                  <c:v>25.554807123658982</c:v>
                </c:pt>
                <c:pt idx="265" formatCode="0.0">
                  <c:v>25.516073179868457</c:v>
                </c:pt>
                <c:pt idx="266" formatCode="0.0">
                  <c:v>25.477339236077945</c:v>
                </c:pt>
                <c:pt idx="267" formatCode="0.0">
                  <c:v>25.43860529228742</c:v>
                </c:pt>
                <c:pt idx="268" formatCode="0.0">
                  <c:v>25.399871348496909</c:v>
                </c:pt>
                <c:pt idx="269" formatCode="0.0">
                  <c:v>25.36113740470638</c:v>
                </c:pt>
                <c:pt idx="270" formatCode="0.0">
                  <c:v>25.322403460915869</c:v>
                </c:pt>
                <c:pt idx="271" formatCode="0.0">
                  <c:v>25.283669517125343</c:v>
                </c:pt>
                <c:pt idx="272" formatCode="0.0">
                  <c:v>25.244935573334832</c:v>
                </c:pt>
                <c:pt idx="273" formatCode="0.0">
                  <c:v>25.206201629544307</c:v>
                </c:pt>
                <c:pt idx="274" formatCode="0.0">
                  <c:v>25.167467685753795</c:v>
                </c:pt>
                <c:pt idx="275" formatCode="0.0">
                  <c:v>25.12873374196327</c:v>
                </c:pt>
                <c:pt idx="276" formatCode="0.0">
                  <c:v>25.089999798172759</c:v>
                </c:pt>
                <c:pt idx="277" formatCode="0.0">
                  <c:v>25.051265854382233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BA-4439-B313-594A774B7E99}"/>
            </c:ext>
          </c:extLst>
        </c:ser>
        <c:ser>
          <c:idx val="2"/>
          <c:order val="2"/>
          <c:tx>
            <c:strRef>
              <c:f>'Forecast '!$D$1</c:f>
              <c:strCache>
                <c:ptCount val="1"/>
                <c:pt idx="0">
                  <c:v>Lower Confidence Bound(Sales)</c:v>
                </c:pt>
              </c:strCache>
            </c:strRef>
          </c:tx>
          <c:spPr>
            <a:ln w="12700" cap="rnd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'Forecast '!$A$2:$A$279</c:f>
              <c:numCache>
                <c:formatCode>m/d/yyyy</c:formatCode>
                <c:ptCount val="278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  <c:pt idx="30">
                  <c:v>45382</c:v>
                </c:pt>
                <c:pt idx="31">
                  <c:v>45383</c:v>
                </c:pt>
                <c:pt idx="32">
                  <c:v>45384</c:v>
                </c:pt>
                <c:pt idx="33">
                  <c:v>45385</c:v>
                </c:pt>
                <c:pt idx="34">
                  <c:v>45386</c:v>
                </c:pt>
                <c:pt idx="35">
                  <c:v>45387</c:v>
                </c:pt>
                <c:pt idx="36">
                  <c:v>45388</c:v>
                </c:pt>
                <c:pt idx="37">
                  <c:v>45389</c:v>
                </c:pt>
                <c:pt idx="38">
                  <c:v>45390</c:v>
                </c:pt>
                <c:pt idx="39">
                  <c:v>45391</c:v>
                </c:pt>
                <c:pt idx="40">
                  <c:v>45392</c:v>
                </c:pt>
                <c:pt idx="41">
                  <c:v>45393</c:v>
                </c:pt>
                <c:pt idx="42">
                  <c:v>45394</c:v>
                </c:pt>
                <c:pt idx="43">
                  <c:v>45395</c:v>
                </c:pt>
                <c:pt idx="44">
                  <c:v>45396</c:v>
                </c:pt>
                <c:pt idx="45">
                  <c:v>45397</c:v>
                </c:pt>
                <c:pt idx="46">
                  <c:v>45398</c:v>
                </c:pt>
                <c:pt idx="47">
                  <c:v>45399</c:v>
                </c:pt>
                <c:pt idx="48">
                  <c:v>45400</c:v>
                </c:pt>
                <c:pt idx="49">
                  <c:v>45401</c:v>
                </c:pt>
                <c:pt idx="50">
                  <c:v>45402</c:v>
                </c:pt>
                <c:pt idx="51">
                  <c:v>45403</c:v>
                </c:pt>
                <c:pt idx="52">
                  <c:v>45404</c:v>
                </c:pt>
                <c:pt idx="53">
                  <c:v>45405</c:v>
                </c:pt>
                <c:pt idx="54">
                  <c:v>45406</c:v>
                </c:pt>
                <c:pt idx="55">
                  <c:v>45407</c:v>
                </c:pt>
                <c:pt idx="56">
                  <c:v>45408</c:v>
                </c:pt>
                <c:pt idx="57">
                  <c:v>45409</c:v>
                </c:pt>
                <c:pt idx="58">
                  <c:v>45410</c:v>
                </c:pt>
                <c:pt idx="59">
                  <c:v>45411</c:v>
                </c:pt>
                <c:pt idx="60">
                  <c:v>45412</c:v>
                </c:pt>
                <c:pt idx="61">
                  <c:v>45413</c:v>
                </c:pt>
                <c:pt idx="62">
                  <c:v>45414</c:v>
                </c:pt>
                <c:pt idx="63">
                  <c:v>45415</c:v>
                </c:pt>
                <c:pt idx="64">
                  <c:v>45416</c:v>
                </c:pt>
                <c:pt idx="65">
                  <c:v>45417</c:v>
                </c:pt>
                <c:pt idx="66">
                  <c:v>45418</c:v>
                </c:pt>
                <c:pt idx="67">
                  <c:v>45419</c:v>
                </c:pt>
                <c:pt idx="68">
                  <c:v>45420</c:v>
                </c:pt>
                <c:pt idx="69">
                  <c:v>45421</c:v>
                </c:pt>
                <c:pt idx="70">
                  <c:v>45422</c:v>
                </c:pt>
                <c:pt idx="71">
                  <c:v>45423</c:v>
                </c:pt>
                <c:pt idx="72">
                  <c:v>45424</c:v>
                </c:pt>
                <c:pt idx="73">
                  <c:v>45425</c:v>
                </c:pt>
                <c:pt idx="74">
                  <c:v>45426</c:v>
                </c:pt>
                <c:pt idx="75">
                  <c:v>45427</c:v>
                </c:pt>
                <c:pt idx="76">
                  <c:v>45428</c:v>
                </c:pt>
                <c:pt idx="77">
                  <c:v>45429</c:v>
                </c:pt>
                <c:pt idx="78">
                  <c:v>45430</c:v>
                </c:pt>
                <c:pt idx="79">
                  <c:v>45431</c:v>
                </c:pt>
                <c:pt idx="80">
                  <c:v>45432</c:v>
                </c:pt>
                <c:pt idx="81">
                  <c:v>45433</c:v>
                </c:pt>
                <c:pt idx="82">
                  <c:v>45434</c:v>
                </c:pt>
                <c:pt idx="83">
                  <c:v>45435</c:v>
                </c:pt>
                <c:pt idx="84">
                  <c:v>45436</c:v>
                </c:pt>
                <c:pt idx="85">
                  <c:v>45437</c:v>
                </c:pt>
                <c:pt idx="86">
                  <c:v>45438</c:v>
                </c:pt>
                <c:pt idx="87">
                  <c:v>45439</c:v>
                </c:pt>
                <c:pt idx="88">
                  <c:v>45440</c:v>
                </c:pt>
                <c:pt idx="89">
                  <c:v>45441</c:v>
                </c:pt>
                <c:pt idx="90">
                  <c:v>45442</c:v>
                </c:pt>
                <c:pt idx="91">
                  <c:v>45443</c:v>
                </c:pt>
                <c:pt idx="92">
                  <c:v>45444</c:v>
                </c:pt>
                <c:pt idx="93">
                  <c:v>45445</c:v>
                </c:pt>
                <c:pt idx="94">
                  <c:v>45446</c:v>
                </c:pt>
                <c:pt idx="95">
                  <c:v>45447</c:v>
                </c:pt>
                <c:pt idx="96">
                  <c:v>45448</c:v>
                </c:pt>
                <c:pt idx="97">
                  <c:v>45449</c:v>
                </c:pt>
                <c:pt idx="98">
                  <c:v>45450</c:v>
                </c:pt>
                <c:pt idx="99">
                  <c:v>45451</c:v>
                </c:pt>
                <c:pt idx="100">
                  <c:v>45452</c:v>
                </c:pt>
                <c:pt idx="101">
                  <c:v>45453</c:v>
                </c:pt>
                <c:pt idx="102">
                  <c:v>45454</c:v>
                </c:pt>
                <c:pt idx="103">
                  <c:v>45455</c:v>
                </c:pt>
                <c:pt idx="104">
                  <c:v>45456</c:v>
                </c:pt>
                <c:pt idx="105">
                  <c:v>45457</c:v>
                </c:pt>
                <c:pt idx="106">
                  <c:v>45458</c:v>
                </c:pt>
                <c:pt idx="107">
                  <c:v>45459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45465</c:v>
                </c:pt>
                <c:pt idx="114">
                  <c:v>45466</c:v>
                </c:pt>
                <c:pt idx="115">
                  <c:v>45467</c:v>
                </c:pt>
                <c:pt idx="116">
                  <c:v>45468</c:v>
                </c:pt>
                <c:pt idx="117">
                  <c:v>45469</c:v>
                </c:pt>
                <c:pt idx="118">
                  <c:v>45470</c:v>
                </c:pt>
                <c:pt idx="119">
                  <c:v>45471</c:v>
                </c:pt>
                <c:pt idx="120">
                  <c:v>45472</c:v>
                </c:pt>
                <c:pt idx="121">
                  <c:v>45473</c:v>
                </c:pt>
                <c:pt idx="122">
                  <c:v>45474</c:v>
                </c:pt>
                <c:pt idx="123">
                  <c:v>45475</c:v>
                </c:pt>
                <c:pt idx="124">
                  <c:v>45476</c:v>
                </c:pt>
                <c:pt idx="125">
                  <c:v>45477</c:v>
                </c:pt>
                <c:pt idx="126">
                  <c:v>45478</c:v>
                </c:pt>
                <c:pt idx="127">
                  <c:v>45479</c:v>
                </c:pt>
                <c:pt idx="128">
                  <c:v>45480</c:v>
                </c:pt>
                <c:pt idx="129">
                  <c:v>45481</c:v>
                </c:pt>
                <c:pt idx="130">
                  <c:v>45482</c:v>
                </c:pt>
                <c:pt idx="131">
                  <c:v>45483</c:v>
                </c:pt>
                <c:pt idx="132">
                  <c:v>45484</c:v>
                </c:pt>
                <c:pt idx="133">
                  <c:v>45485</c:v>
                </c:pt>
                <c:pt idx="134">
                  <c:v>45486</c:v>
                </c:pt>
                <c:pt idx="135">
                  <c:v>45487</c:v>
                </c:pt>
                <c:pt idx="136">
                  <c:v>45488</c:v>
                </c:pt>
                <c:pt idx="137">
                  <c:v>45489</c:v>
                </c:pt>
                <c:pt idx="138">
                  <c:v>45490</c:v>
                </c:pt>
                <c:pt idx="139">
                  <c:v>45491</c:v>
                </c:pt>
                <c:pt idx="140">
                  <c:v>45492</c:v>
                </c:pt>
                <c:pt idx="141">
                  <c:v>45493</c:v>
                </c:pt>
                <c:pt idx="142">
                  <c:v>45494</c:v>
                </c:pt>
                <c:pt idx="143">
                  <c:v>45495</c:v>
                </c:pt>
                <c:pt idx="144">
                  <c:v>45496</c:v>
                </c:pt>
                <c:pt idx="145">
                  <c:v>45497</c:v>
                </c:pt>
                <c:pt idx="146">
                  <c:v>45498</c:v>
                </c:pt>
                <c:pt idx="147">
                  <c:v>45499</c:v>
                </c:pt>
                <c:pt idx="148">
                  <c:v>45500</c:v>
                </c:pt>
                <c:pt idx="149">
                  <c:v>45501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45507</c:v>
                </c:pt>
                <c:pt idx="156">
                  <c:v>45508</c:v>
                </c:pt>
                <c:pt idx="157">
                  <c:v>45509</c:v>
                </c:pt>
                <c:pt idx="158">
                  <c:v>45510</c:v>
                </c:pt>
                <c:pt idx="159">
                  <c:v>45511</c:v>
                </c:pt>
                <c:pt idx="160">
                  <c:v>45512</c:v>
                </c:pt>
                <c:pt idx="161">
                  <c:v>45513</c:v>
                </c:pt>
                <c:pt idx="162">
                  <c:v>45514</c:v>
                </c:pt>
                <c:pt idx="163">
                  <c:v>45515</c:v>
                </c:pt>
                <c:pt idx="164">
                  <c:v>45516</c:v>
                </c:pt>
                <c:pt idx="165">
                  <c:v>45517</c:v>
                </c:pt>
                <c:pt idx="166">
                  <c:v>45518</c:v>
                </c:pt>
                <c:pt idx="167">
                  <c:v>45519</c:v>
                </c:pt>
                <c:pt idx="168">
                  <c:v>45520</c:v>
                </c:pt>
                <c:pt idx="169">
                  <c:v>45521</c:v>
                </c:pt>
                <c:pt idx="170">
                  <c:v>45522</c:v>
                </c:pt>
                <c:pt idx="171">
                  <c:v>45523</c:v>
                </c:pt>
                <c:pt idx="172">
                  <c:v>45524</c:v>
                </c:pt>
                <c:pt idx="173">
                  <c:v>45525</c:v>
                </c:pt>
                <c:pt idx="174">
                  <c:v>45526</c:v>
                </c:pt>
                <c:pt idx="175">
                  <c:v>45527</c:v>
                </c:pt>
                <c:pt idx="176">
                  <c:v>45528</c:v>
                </c:pt>
                <c:pt idx="177">
                  <c:v>45529</c:v>
                </c:pt>
                <c:pt idx="178">
                  <c:v>45530</c:v>
                </c:pt>
                <c:pt idx="179">
                  <c:v>45531</c:v>
                </c:pt>
                <c:pt idx="180">
                  <c:v>45532</c:v>
                </c:pt>
                <c:pt idx="181">
                  <c:v>45533</c:v>
                </c:pt>
                <c:pt idx="182">
                  <c:v>45534</c:v>
                </c:pt>
                <c:pt idx="183">
                  <c:v>45535</c:v>
                </c:pt>
                <c:pt idx="184">
                  <c:v>45536</c:v>
                </c:pt>
                <c:pt idx="185">
                  <c:v>45537</c:v>
                </c:pt>
                <c:pt idx="186">
                  <c:v>45538</c:v>
                </c:pt>
                <c:pt idx="187">
                  <c:v>45539</c:v>
                </c:pt>
                <c:pt idx="188">
                  <c:v>45540</c:v>
                </c:pt>
                <c:pt idx="189">
                  <c:v>45541</c:v>
                </c:pt>
                <c:pt idx="190">
                  <c:v>45542</c:v>
                </c:pt>
                <c:pt idx="191">
                  <c:v>45543</c:v>
                </c:pt>
                <c:pt idx="192">
                  <c:v>45544</c:v>
                </c:pt>
                <c:pt idx="193">
                  <c:v>45545</c:v>
                </c:pt>
                <c:pt idx="194">
                  <c:v>45546</c:v>
                </c:pt>
                <c:pt idx="195">
                  <c:v>45547</c:v>
                </c:pt>
                <c:pt idx="196">
                  <c:v>45548</c:v>
                </c:pt>
                <c:pt idx="197">
                  <c:v>45549</c:v>
                </c:pt>
                <c:pt idx="198">
                  <c:v>45550</c:v>
                </c:pt>
                <c:pt idx="199">
                  <c:v>45551</c:v>
                </c:pt>
                <c:pt idx="200">
                  <c:v>45552</c:v>
                </c:pt>
                <c:pt idx="201">
                  <c:v>45553</c:v>
                </c:pt>
                <c:pt idx="202">
                  <c:v>45554</c:v>
                </c:pt>
                <c:pt idx="203">
                  <c:v>45555</c:v>
                </c:pt>
                <c:pt idx="204">
                  <c:v>45556</c:v>
                </c:pt>
                <c:pt idx="205">
                  <c:v>45557</c:v>
                </c:pt>
                <c:pt idx="206">
                  <c:v>45558</c:v>
                </c:pt>
                <c:pt idx="207">
                  <c:v>45559</c:v>
                </c:pt>
                <c:pt idx="208">
                  <c:v>45560</c:v>
                </c:pt>
                <c:pt idx="209">
                  <c:v>45561</c:v>
                </c:pt>
                <c:pt idx="210">
                  <c:v>45562</c:v>
                </c:pt>
                <c:pt idx="211">
                  <c:v>45563</c:v>
                </c:pt>
                <c:pt idx="212">
                  <c:v>45564</c:v>
                </c:pt>
                <c:pt idx="213">
                  <c:v>45565</c:v>
                </c:pt>
                <c:pt idx="214">
                  <c:v>45566</c:v>
                </c:pt>
                <c:pt idx="215">
                  <c:v>45567</c:v>
                </c:pt>
                <c:pt idx="216">
                  <c:v>45568</c:v>
                </c:pt>
                <c:pt idx="217">
                  <c:v>45569</c:v>
                </c:pt>
                <c:pt idx="218">
                  <c:v>45570</c:v>
                </c:pt>
                <c:pt idx="219">
                  <c:v>45571</c:v>
                </c:pt>
                <c:pt idx="220">
                  <c:v>45572</c:v>
                </c:pt>
                <c:pt idx="221">
                  <c:v>45573</c:v>
                </c:pt>
                <c:pt idx="222">
                  <c:v>45574</c:v>
                </c:pt>
                <c:pt idx="223">
                  <c:v>45575</c:v>
                </c:pt>
                <c:pt idx="224">
                  <c:v>45576</c:v>
                </c:pt>
                <c:pt idx="225">
                  <c:v>45577</c:v>
                </c:pt>
                <c:pt idx="226">
                  <c:v>45578</c:v>
                </c:pt>
                <c:pt idx="227">
                  <c:v>45579</c:v>
                </c:pt>
                <c:pt idx="228">
                  <c:v>45580</c:v>
                </c:pt>
                <c:pt idx="229">
                  <c:v>45581</c:v>
                </c:pt>
                <c:pt idx="230">
                  <c:v>45582</c:v>
                </c:pt>
                <c:pt idx="231">
                  <c:v>45583</c:v>
                </c:pt>
                <c:pt idx="232">
                  <c:v>45584</c:v>
                </c:pt>
                <c:pt idx="233">
                  <c:v>45585</c:v>
                </c:pt>
                <c:pt idx="234">
                  <c:v>45586</c:v>
                </c:pt>
                <c:pt idx="235">
                  <c:v>45587</c:v>
                </c:pt>
                <c:pt idx="236">
                  <c:v>45588</c:v>
                </c:pt>
                <c:pt idx="237">
                  <c:v>45589</c:v>
                </c:pt>
                <c:pt idx="238">
                  <c:v>45590</c:v>
                </c:pt>
                <c:pt idx="239">
                  <c:v>45591</c:v>
                </c:pt>
                <c:pt idx="240">
                  <c:v>45592</c:v>
                </c:pt>
                <c:pt idx="241">
                  <c:v>45593</c:v>
                </c:pt>
                <c:pt idx="242">
                  <c:v>45594</c:v>
                </c:pt>
                <c:pt idx="243">
                  <c:v>45595</c:v>
                </c:pt>
                <c:pt idx="244">
                  <c:v>45596</c:v>
                </c:pt>
                <c:pt idx="245">
                  <c:v>45597</c:v>
                </c:pt>
                <c:pt idx="246">
                  <c:v>45598</c:v>
                </c:pt>
                <c:pt idx="247">
                  <c:v>45599</c:v>
                </c:pt>
                <c:pt idx="248">
                  <c:v>45600</c:v>
                </c:pt>
                <c:pt idx="249">
                  <c:v>45601</c:v>
                </c:pt>
                <c:pt idx="250">
                  <c:v>45602</c:v>
                </c:pt>
                <c:pt idx="251">
                  <c:v>45603</c:v>
                </c:pt>
                <c:pt idx="252">
                  <c:v>45604</c:v>
                </c:pt>
                <c:pt idx="253">
                  <c:v>45605</c:v>
                </c:pt>
                <c:pt idx="254">
                  <c:v>45606</c:v>
                </c:pt>
                <c:pt idx="255">
                  <c:v>45607</c:v>
                </c:pt>
                <c:pt idx="256">
                  <c:v>45608</c:v>
                </c:pt>
                <c:pt idx="257">
                  <c:v>45609</c:v>
                </c:pt>
                <c:pt idx="258">
                  <c:v>45610</c:v>
                </c:pt>
                <c:pt idx="259">
                  <c:v>45611</c:v>
                </c:pt>
                <c:pt idx="260">
                  <c:v>45612</c:v>
                </c:pt>
                <c:pt idx="261">
                  <c:v>45613</c:v>
                </c:pt>
                <c:pt idx="262">
                  <c:v>45614</c:v>
                </c:pt>
                <c:pt idx="263">
                  <c:v>45615</c:v>
                </c:pt>
                <c:pt idx="264">
                  <c:v>45616</c:v>
                </c:pt>
                <c:pt idx="265">
                  <c:v>45617</c:v>
                </c:pt>
                <c:pt idx="266">
                  <c:v>45618</c:v>
                </c:pt>
                <c:pt idx="267">
                  <c:v>45619</c:v>
                </c:pt>
                <c:pt idx="268">
                  <c:v>45620</c:v>
                </c:pt>
                <c:pt idx="269">
                  <c:v>45621</c:v>
                </c:pt>
                <c:pt idx="270">
                  <c:v>45622</c:v>
                </c:pt>
                <c:pt idx="271">
                  <c:v>45623</c:v>
                </c:pt>
                <c:pt idx="272">
                  <c:v>45624</c:v>
                </c:pt>
                <c:pt idx="273">
                  <c:v>45625</c:v>
                </c:pt>
                <c:pt idx="274">
                  <c:v>45626</c:v>
                </c:pt>
                <c:pt idx="275">
                  <c:v>45627</c:v>
                </c:pt>
                <c:pt idx="276">
                  <c:v>45628</c:v>
                </c:pt>
                <c:pt idx="277">
                  <c:v>45629</c:v>
                </c:pt>
              </c:numCache>
            </c:numRef>
          </c:cat>
          <c:val>
            <c:numRef>
              <c:f>'Forecast '!$D$2:$D$279</c:f>
              <c:numCache>
                <c:formatCode>General</c:formatCode>
                <c:ptCount val="278"/>
                <c:pt idx="138" formatCode="0.0">
                  <c:v>27.92</c:v>
                </c:pt>
                <c:pt idx="139" formatCode="0.0">
                  <c:v>25.952654920754977</c:v>
                </c:pt>
                <c:pt idx="140" formatCode="0.0">
                  <c:v>25.878226537491699</c:v>
                </c:pt>
                <c:pt idx="141" formatCode="0.0">
                  <c:v>25.803522697559284</c:v>
                </c:pt>
                <c:pt idx="142" formatCode="0.0">
                  <c:v>25.728545592668898</c:v>
                </c:pt>
                <c:pt idx="143" formatCode="0.0">
                  <c:v>25.653297394368629</c:v>
                </c:pt>
                <c:pt idx="144" formatCode="0.0">
                  <c:v>25.577780253555648</c:v>
                </c:pt>
                <c:pt idx="145" formatCode="0.0">
                  <c:v>25.501996300039007</c:v>
                </c:pt>
                <c:pt idx="146" formatCode="0.0">
                  <c:v>25.42594764215097</c:v>
                </c:pt>
                <c:pt idx="147" formatCode="0.0">
                  <c:v>25.349636366403917</c:v>
                </c:pt>
                <c:pt idx="148" formatCode="0.0">
                  <c:v>25.273064537190866</c:v>
                </c:pt>
                <c:pt idx="149" formatCode="0.0">
                  <c:v>25.196234196526792</c:v>
                </c:pt>
                <c:pt idx="150" formatCode="0.0">
                  <c:v>25.119147363828962</c:v>
                </c:pt>
                <c:pt idx="151" formatCode="0.0">
                  <c:v>25.041806035733622</c:v>
                </c:pt>
                <c:pt idx="152" formatCode="0.0">
                  <c:v>24.964212185947428</c:v>
                </c:pt>
                <c:pt idx="153" formatCode="0.0">
                  <c:v>24.88636776513107</c:v>
                </c:pt>
                <c:pt idx="154" formatCode="0.0">
                  <c:v>24.808274700813662</c:v>
                </c:pt>
                <c:pt idx="155" formatCode="0.0">
                  <c:v>24.729934897335575</c:v>
                </c:pt>
                <c:pt idx="156" formatCode="0.0">
                  <c:v>24.651350235818335</c:v>
                </c:pt>
                <c:pt idx="157" formatCode="0.0">
                  <c:v>24.572522574159429</c:v>
                </c:pt>
                <c:pt idx="158" formatCode="0.0">
                  <c:v>24.493453747050882</c:v>
                </c:pt>
                <c:pt idx="159" formatCode="0.0">
                  <c:v>24.414145566019517</c:v>
                </c:pt>
                <c:pt idx="160" formatCode="0.0">
                  <c:v>24.334599819487881</c:v>
                </c:pt>
                <c:pt idx="161" formatCode="0.0">
                  <c:v>24.254818272853989</c:v>
                </c:pt>
                <c:pt idx="162" formatCode="0.0">
                  <c:v>24.174802668588928</c:v>
                </c:pt>
                <c:pt idx="163" formatCode="0.0">
                  <c:v>24.094554726350609</c:v>
                </c:pt>
                <c:pt idx="164" formatCode="0.0">
                  <c:v>24.014076143112884</c:v>
                </c:pt>
                <c:pt idx="165" formatCode="0.0">
                  <c:v>23.933368593308387</c:v>
                </c:pt>
                <c:pt idx="166" formatCode="0.0">
                  <c:v>23.85243372898449</c:v>
                </c:pt>
                <c:pt idx="167" formatCode="0.0">
                  <c:v>23.771273179970791</c:v>
                </c:pt>
                <c:pt idx="168" formatCode="0.0">
                  <c:v>23.689888554057706</c:v>
                </c:pt>
                <c:pt idx="169" formatCode="0.0">
                  <c:v>23.608281437184623</c:v>
                </c:pt>
                <c:pt idx="170" formatCode="0.0">
                  <c:v>23.526453393637318</c:v>
                </c:pt>
                <c:pt idx="171" formatCode="0.0">
                  <c:v>23.444405966253271</c:v>
                </c:pt>
                <c:pt idx="172" formatCode="0.0">
                  <c:v>23.36214067663451</c:v>
                </c:pt>
                <c:pt idx="173" formatCode="0.0">
                  <c:v>23.279659025366861</c:v>
                </c:pt>
                <c:pt idx="174" formatCode="0.0">
                  <c:v>23.196962492245277</c:v>
                </c:pt>
                <c:pt idx="175" formatCode="0.0">
                  <c:v>23.114052536504172</c:v>
                </c:pt>
                <c:pt idx="176" formatCode="0.0">
                  <c:v>23.030930597052571</c:v>
                </c:pt>
                <c:pt idx="177" formatCode="0.0">
                  <c:v>22.947598092713022</c:v>
                </c:pt>
                <c:pt idx="178" formatCode="0.0">
                  <c:v>22.864056422464202</c:v>
                </c:pt>
                <c:pt idx="179" formatCode="0.0">
                  <c:v>22.780306965686236</c:v>
                </c:pt>
                <c:pt idx="180" formatCode="0.0">
                  <c:v>22.696351082408661</c:v>
                </c:pt>
                <c:pt idx="181" formatCode="0.0">
                  <c:v>22.612190113560189</c:v>
                </c:pt>
                <c:pt idx="182" formatCode="0.0">
                  <c:v>22.527825381220261</c:v>
                </c:pt>
                <c:pt idx="183" formatCode="0.0">
                  <c:v>22.443258188871525</c:v>
                </c:pt>
                <c:pt idx="184" formatCode="0.0">
                  <c:v>22.3584898216534</c:v>
                </c:pt>
                <c:pt idx="185" formatCode="0.0">
                  <c:v>22.2735215466158</c:v>
                </c:pt>
                <c:pt idx="186" formatCode="0.0">
                  <c:v>22.188354612973306</c:v>
                </c:pt>
                <c:pt idx="187" formatCode="0.0">
                  <c:v>22.102990252358889</c:v>
                </c:pt>
                <c:pt idx="188" formatCode="0.0">
                  <c:v>22.01742967907748</c:v>
                </c:pt>
                <c:pt idx="189" formatCode="0.0">
                  <c:v>21.931674090358584</c:v>
                </c:pt>
                <c:pt idx="190" formatCode="0.0">
                  <c:v>21.845724666608234</c:v>
                </c:pt>
                <c:pt idx="191" formatCode="0.0">
                  <c:v>21.759582571659575</c:v>
                </c:pt>
                <c:pt idx="192" formatCode="0.0">
                  <c:v>21.673248953022291</c:v>
                </c:pt>
                <c:pt idx="193" formatCode="0.0">
                  <c:v>21.586724942130331</c:v>
                </c:pt>
                <c:pt idx="194" formatCode="0.0">
                  <c:v>21.500011654588153</c:v>
                </c:pt>
                <c:pt idx="195" formatCode="0.0">
                  <c:v>21.413110190414876</c:v>
                </c:pt>
                <c:pt idx="196" formatCode="0.0">
                  <c:v>21.32602163428669</c:v>
                </c:pt>
                <c:pt idx="197" formatCode="0.0">
                  <c:v>21.238747055776901</c:v>
                </c:pt>
                <c:pt idx="198" formatCode="0.0">
                  <c:v>21.151287509593992</c:v>
                </c:pt>
                <c:pt idx="199" formatCode="0.0">
                  <c:v>21.063644035817084</c:v>
                </c:pt>
                <c:pt idx="200" formatCode="0.0">
                  <c:v>20.975817660129238</c:v>
                </c:pt>
                <c:pt idx="201" formatCode="0.0">
                  <c:v>20.887809394047945</c:v>
                </c:pt>
                <c:pt idx="202" formatCode="0.0">
                  <c:v>20.799620235153309</c:v>
                </c:pt>
                <c:pt idx="203" formatCode="0.0">
                  <c:v>20.711251167313321</c:v>
                </c:pt>
                <c:pt idx="204" formatCode="0.0">
                  <c:v>20.622703160906614</c:v>
                </c:pt>
                <c:pt idx="205" formatCode="0.0">
                  <c:v>20.533977173042278</c:v>
                </c:pt>
                <c:pt idx="206" formatCode="0.0">
                  <c:v>20.445074147777021</c:v>
                </c:pt>
                <c:pt idx="207" formatCode="0.0">
                  <c:v>20.355995016329317</c:v>
                </c:pt>
                <c:pt idx="208" formatCode="0.0">
                  <c:v>20.266740697290853</c:v>
                </c:pt>
                <c:pt idx="209" formatCode="0.0">
                  <c:v>20.177312096834861</c:v>
                </c:pt>
                <c:pt idx="210" formatCode="0.0">
                  <c:v>20.08771010892174</c:v>
                </c:pt>
                <c:pt idx="211" formatCode="0.0">
                  <c:v>19.997935615501554</c:v>
                </c:pt>
                <c:pt idx="212" formatCode="0.0">
                  <c:v>19.907989486713731</c:v>
                </c:pt>
                <c:pt idx="213" formatCode="0.0">
                  <c:v>19.817872581083659</c:v>
                </c:pt>
                <c:pt idx="214" formatCode="0.0">
                  <c:v>19.727585745716482</c:v>
                </c:pt>
                <c:pt idx="215" formatCode="0.0">
                  <c:v>19.637129816487771</c:v>
                </c:pt>
                <c:pt idx="216" formatCode="0.0">
                  <c:v>19.54650561823146</c:v>
                </c:pt>
                <c:pt idx="217" formatCode="0.0">
                  <c:v>19.455713964924559</c:v>
                </c:pt>
                <c:pt idx="218" formatCode="0.0">
                  <c:v>19.364755659869257</c:v>
                </c:pt>
                <c:pt idx="219" formatCode="0.0">
                  <c:v>19.273631495871818</c:v>
                </c:pt>
                <c:pt idx="220" formatCode="0.0">
                  <c:v>19.182342255418821</c:v>
                </c:pt>
                <c:pt idx="221" formatCode="0.0">
                  <c:v>19.090888710850315</c:v>
                </c:pt>
                <c:pt idx="222" formatCode="0.0">
                  <c:v>18.999271624530323</c:v>
                </c:pt>
                <c:pt idx="223" formatCode="0.0">
                  <c:v>18.907491749014277</c:v>
                </c:pt>
                <c:pt idx="224" formatCode="0.0">
                  <c:v>18.815549827213921</c:v>
                </c:pt>
                <c:pt idx="225" formatCode="0.0">
                  <c:v>18.723446592559121</c:v>
                </c:pt>
                <c:pt idx="226" formatCode="0.0">
                  <c:v>18.631182769157235</c:v>
                </c:pt>
                <c:pt idx="227" formatCode="0.0">
                  <c:v>18.538759071949464</c:v>
                </c:pt>
                <c:pt idx="228" formatCode="0.0">
                  <c:v>18.446176206864777</c:v>
                </c:pt>
                <c:pt idx="229" formatCode="0.0">
                  <c:v>18.353434870970901</c:v>
                </c:pt>
                <c:pt idx="230" formatCode="0.0">
                  <c:v>18.260535752622943</c:v>
                </c:pt>
                <c:pt idx="231" formatCode="0.0">
                  <c:v>18.167479531609168</c:v>
                </c:pt>
                <c:pt idx="232" formatCode="0.0">
                  <c:v>18.074266879294456</c:v>
                </c:pt>
                <c:pt idx="233" formatCode="0.0">
                  <c:v>17.980898458760926</c:v>
                </c:pt>
                <c:pt idx="234" formatCode="0.0">
                  <c:v>17.887374924946418</c:v>
                </c:pt>
                <c:pt idx="235" formatCode="0.0">
                  <c:v>17.793696924780136</c:v>
                </c:pt>
                <c:pt idx="236" formatCode="0.0">
                  <c:v>17.699865097316209</c:v>
                </c:pt>
                <c:pt idx="237" formatCode="0.0">
                  <c:v>17.605880073864562</c:v>
                </c:pt>
                <c:pt idx="238" formatCode="0.0">
                  <c:v>17.511742478119672</c:v>
                </c:pt>
                <c:pt idx="239" formatCode="0.0">
                  <c:v>17.417452926286806</c:v>
                </c:pt>
                <c:pt idx="240" formatCode="0.0">
                  <c:v>17.323012027206133</c:v>
                </c:pt>
                <c:pt idx="241" formatCode="0.0">
                  <c:v>17.228420382474418</c:v>
                </c:pt>
                <c:pt idx="242" formatCode="0.0">
                  <c:v>17.13367858656472</c:v>
                </c:pt>
                <c:pt idx="243" formatCode="0.0">
                  <c:v>17.038787226943633</c:v>
                </c:pt>
                <c:pt idx="244" formatCode="0.0">
                  <c:v>16.943746884186677</c:v>
                </c:pt>
                <c:pt idx="245" formatCode="0.0">
                  <c:v>16.848558132091309</c:v>
                </c:pt>
                <c:pt idx="246" formatCode="0.0">
                  <c:v>16.753221537788118</c:v>
                </c:pt>
                <c:pt idx="247" formatCode="0.0">
                  <c:v>16.657737661849712</c:v>
                </c:pt>
                <c:pt idx="248" formatCode="0.0">
                  <c:v>16.562107058397878</c:v>
                </c:pt>
                <c:pt idx="249" formatCode="0.0">
                  <c:v>16.46633027520852</c:v>
                </c:pt>
                <c:pt idx="250" formatCode="0.0">
                  <c:v>16.370407853814896</c:v>
                </c:pt>
                <c:pt idx="251" formatCode="0.0">
                  <c:v>16.274340329608705</c:v>
                </c:pt>
                <c:pt idx="252" formatCode="0.0">
                  <c:v>16.178128231939581</c:v>
                </c:pt>
                <c:pt idx="253" formatCode="0.0">
                  <c:v>16.081772084212488</c:v>
                </c:pt>
                <c:pt idx="254" formatCode="0.0">
                  <c:v>15.985272403983565</c:v>
                </c:pt>
                <c:pt idx="255" formatCode="0.0">
                  <c:v>15.888629703053937</c:v>
                </c:pt>
                <c:pt idx="256" formatCode="0.0">
                  <c:v>15.791844487562075</c:v>
                </c:pt>
                <c:pt idx="257" formatCode="0.0">
                  <c:v>15.69491725807419</c:v>
                </c:pt>
                <c:pt idx="258" formatCode="0.0">
                  <c:v>15.597848509673167</c:v>
                </c:pt>
                <c:pt idx="259" formatCode="0.0">
                  <c:v>15.500638732045676</c:v>
                </c:pt>
                <c:pt idx="260" formatCode="0.0">
                  <c:v>15.403288409567862</c:v>
                </c:pt>
                <c:pt idx="261" formatCode="0.0">
                  <c:v>15.305798021389235</c:v>
                </c:pt>
                <c:pt idx="262" formatCode="0.0">
                  <c:v>15.208168041515243</c:v>
                </c:pt>
                <c:pt idx="263" formatCode="0.0">
                  <c:v>15.110398938888101</c:v>
                </c:pt>
                <c:pt idx="264" formatCode="0.0">
                  <c:v>15.012491177466323</c:v>
                </c:pt>
                <c:pt idx="265" formatCode="0.0">
                  <c:v>14.914445216302619</c:v>
                </c:pt>
                <c:pt idx="266" formatCode="0.0">
                  <c:v>14.816261509620514</c:v>
                </c:pt>
                <c:pt idx="267" formatCode="0.0">
                  <c:v>14.717940506889381</c:v>
                </c:pt>
                <c:pt idx="268" formatCode="0.0">
                  <c:v>14.619482652898297</c:v>
                </c:pt>
                <c:pt idx="269" formatCode="0.0">
                  <c:v>14.520888387828322</c:v>
                </c:pt>
                <c:pt idx="270" formatCode="0.0">
                  <c:v>14.422158147323685</c:v>
                </c:pt>
                <c:pt idx="271" formatCode="0.0">
                  <c:v>14.323292362561412</c:v>
                </c:pt>
                <c:pt idx="272" formatCode="0.0">
                  <c:v>14.224291460319924</c:v>
                </c:pt>
                <c:pt idx="273" formatCode="0.0">
                  <c:v>14.12515586304615</c:v>
                </c:pt>
                <c:pt idx="274" formatCode="0.0">
                  <c:v>14.025885988921639</c:v>
                </c:pt>
                <c:pt idx="275" formatCode="0.0">
                  <c:v>13.926482251927235</c:v>
                </c:pt>
                <c:pt idx="276" formatCode="0.0">
                  <c:v>13.826945061906795</c:v>
                </c:pt>
                <c:pt idx="277" formatCode="0.0">
                  <c:v>13.727274824629522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BA-4439-B313-594A774B7E99}"/>
            </c:ext>
          </c:extLst>
        </c:ser>
        <c:ser>
          <c:idx val="3"/>
          <c:order val="3"/>
          <c:tx>
            <c:strRef>
              <c:f>'Forecast '!$E$1</c:f>
              <c:strCache>
                <c:ptCount val="1"/>
                <c:pt idx="0">
                  <c:v>Upper Confidence Bound(Sales)</c:v>
                </c:pt>
              </c:strCache>
            </c:strRef>
          </c:tx>
          <c:spPr>
            <a:ln w="12700" cap="rnd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'Forecast '!$A$2:$A$279</c:f>
              <c:numCache>
                <c:formatCode>m/d/yyyy</c:formatCode>
                <c:ptCount val="278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  <c:pt idx="30">
                  <c:v>45382</c:v>
                </c:pt>
                <c:pt idx="31">
                  <c:v>45383</c:v>
                </c:pt>
                <c:pt idx="32">
                  <c:v>45384</c:v>
                </c:pt>
                <c:pt idx="33">
                  <c:v>45385</c:v>
                </c:pt>
                <c:pt idx="34">
                  <c:v>45386</c:v>
                </c:pt>
                <c:pt idx="35">
                  <c:v>45387</c:v>
                </c:pt>
                <c:pt idx="36">
                  <c:v>45388</c:v>
                </c:pt>
                <c:pt idx="37">
                  <c:v>45389</c:v>
                </c:pt>
                <c:pt idx="38">
                  <c:v>45390</c:v>
                </c:pt>
                <c:pt idx="39">
                  <c:v>45391</c:v>
                </c:pt>
                <c:pt idx="40">
                  <c:v>45392</c:v>
                </c:pt>
                <c:pt idx="41">
                  <c:v>45393</c:v>
                </c:pt>
                <c:pt idx="42">
                  <c:v>45394</c:v>
                </c:pt>
                <c:pt idx="43">
                  <c:v>45395</c:v>
                </c:pt>
                <c:pt idx="44">
                  <c:v>45396</c:v>
                </c:pt>
                <c:pt idx="45">
                  <c:v>45397</c:v>
                </c:pt>
                <c:pt idx="46">
                  <c:v>45398</c:v>
                </c:pt>
                <c:pt idx="47">
                  <c:v>45399</c:v>
                </c:pt>
                <c:pt idx="48">
                  <c:v>45400</c:v>
                </c:pt>
                <c:pt idx="49">
                  <c:v>45401</c:v>
                </c:pt>
                <c:pt idx="50">
                  <c:v>45402</c:v>
                </c:pt>
                <c:pt idx="51">
                  <c:v>45403</c:v>
                </c:pt>
                <c:pt idx="52">
                  <c:v>45404</c:v>
                </c:pt>
                <c:pt idx="53">
                  <c:v>45405</c:v>
                </c:pt>
                <c:pt idx="54">
                  <c:v>45406</c:v>
                </c:pt>
                <c:pt idx="55">
                  <c:v>45407</c:v>
                </c:pt>
                <c:pt idx="56">
                  <c:v>45408</c:v>
                </c:pt>
                <c:pt idx="57">
                  <c:v>45409</c:v>
                </c:pt>
                <c:pt idx="58">
                  <c:v>45410</c:v>
                </c:pt>
                <c:pt idx="59">
                  <c:v>45411</c:v>
                </c:pt>
                <c:pt idx="60">
                  <c:v>45412</c:v>
                </c:pt>
                <c:pt idx="61">
                  <c:v>45413</c:v>
                </c:pt>
                <c:pt idx="62">
                  <c:v>45414</c:v>
                </c:pt>
                <c:pt idx="63">
                  <c:v>45415</c:v>
                </c:pt>
                <c:pt idx="64">
                  <c:v>45416</c:v>
                </c:pt>
                <c:pt idx="65">
                  <c:v>45417</c:v>
                </c:pt>
                <c:pt idx="66">
                  <c:v>45418</c:v>
                </c:pt>
                <c:pt idx="67">
                  <c:v>45419</c:v>
                </c:pt>
                <c:pt idx="68">
                  <c:v>45420</c:v>
                </c:pt>
                <c:pt idx="69">
                  <c:v>45421</c:v>
                </c:pt>
                <c:pt idx="70">
                  <c:v>45422</c:v>
                </c:pt>
                <c:pt idx="71">
                  <c:v>45423</c:v>
                </c:pt>
                <c:pt idx="72">
                  <c:v>45424</c:v>
                </c:pt>
                <c:pt idx="73">
                  <c:v>45425</c:v>
                </c:pt>
                <c:pt idx="74">
                  <c:v>45426</c:v>
                </c:pt>
                <c:pt idx="75">
                  <c:v>45427</c:v>
                </c:pt>
                <c:pt idx="76">
                  <c:v>45428</c:v>
                </c:pt>
                <c:pt idx="77">
                  <c:v>45429</c:v>
                </c:pt>
                <c:pt idx="78">
                  <c:v>45430</c:v>
                </c:pt>
                <c:pt idx="79">
                  <c:v>45431</c:v>
                </c:pt>
                <c:pt idx="80">
                  <c:v>45432</c:v>
                </c:pt>
                <c:pt idx="81">
                  <c:v>45433</c:v>
                </c:pt>
                <c:pt idx="82">
                  <c:v>45434</c:v>
                </c:pt>
                <c:pt idx="83">
                  <c:v>45435</c:v>
                </c:pt>
                <c:pt idx="84">
                  <c:v>45436</c:v>
                </c:pt>
                <c:pt idx="85">
                  <c:v>45437</c:v>
                </c:pt>
                <c:pt idx="86">
                  <c:v>45438</c:v>
                </c:pt>
                <c:pt idx="87">
                  <c:v>45439</c:v>
                </c:pt>
                <c:pt idx="88">
                  <c:v>45440</c:v>
                </c:pt>
                <c:pt idx="89">
                  <c:v>45441</c:v>
                </c:pt>
                <c:pt idx="90">
                  <c:v>45442</c:v>
                </c:pt>
                <c:pt idx="91">
                  <c:v>45443</c:v>
                </c:pt>
                <c:pt idx="92">
                  <c:v>45444</c:v>
                </c:pt>
                <c:pt idx="93">
                  <c:v>45445</c:v>
                </c:pt>
                <c:pt idx="94">
                  <c:v>45446</c:v>
                </c:pt>
                <c:pt idx="95">
                  <c:v>45447</c:v>
                </c:pt>
                <c:pt idx="96">
                  <c:v>45448</c:v>
                </c:pt>
                <c:pt idx="97">
                  <c:v>45449</c:v>
                </c:pt>
                <c:pt idx="98">
                  <c:v>45450</c:v>
                </c:pt>
                <c:pt idx="99">
                  <c:v>45451</c:v>
                </c:pt>
                <c:pt idx="100">
                  <c:v>45452</c:v>
                </c:pt>
                <c:pt idx="101">
                  <c:v>45453</c:v>
                </c:pt>
                <c:pt idx="102">
                  <c:v>45454</c:v>
                </c:pt>
                <c:pt idx="103">
                  <c:v>45455</c:v>
                </c:pt>
                <c:pt idx="104">
                  <c:v>45456</c:v>
                </c:pt>
                <c:pt idx="105">
                  <c:v>45457</c:v>
                </c:pt>
                <c:pt idx="106">
                  <c:v>45458</c:v>
                </c:pt>
                <c:pt idx="107">
                  <c:v>45459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45465</c:v>
                </c:pt>
                <c:pt idx="114">
                  <c:v>45466</c:v>
                </c:pt>
                <c:pt idx="115">
                  <c:v>45467</c:v>
                </c:pt>
                <c:pt idx="116">
                  <c:v>45468</c:v>
                </c:pt>
                <c:pt idx="117">
                  <c:v>45469</c:v>
                </c:pt>
                <c:pt idx="118">
                  <c:v>45470</c:v>
                </c:pt>
                <c:pt idx="119">
                  <c:v>45471</c:v>
                </c:pt>
                <c:pt idx="120">
                  <c:v>45472</c:v>
                </c:pt>
                <c:pt idx="121">
                  <c:v>45473</c:v>
                </c:pt>
                <c:pt idx="122">
                  <c:v>45474</c:v>
                </c:pt>
                <c:pt idx="123">
                  <c:v>45475</c:v>
                </c:pt>
                <c:pt idx="124">
                  <c:v>45476</c:v>
                </c:pt>
                <c:pt idx="125">
                  <c:v>45477</c:v>
                </c:pt>
                <c:pt idx="126">
                  <c:v>45478</c:v>
                </c:pt>
                <c:pt idx="127">
                  <c:v>45479</c:v>
                </c:pt>
                <c:pt idx="128">
                  <c:v>45480</c:v>
                </c:pt>
                <c:pt idx="129">
                  <c:v>45481</c:v>
                </c:pt>
                <c:pt idx="130">
                  <c:v>45482</c:v>
                </c:pt>
                <c:pt idx="131">
                  <c:v>45483</c:v>
                </c:pt>
                <c:pt idx="132">
                  <c:v>45484</c:v>
                </c:pt>
                <c:pt idx="133">
                  <c:v>45485</c:v>
                </c:pt>
                <c:pt idx="134">
                  <c:v>45486</c:v>
                </c:pt>
                <c:pt idx="135">
                  <c:v>45487</c:v>
                </c:pt>
                <c:pt idx="136">
                  <c:v>45488</c:v>
                </c:pt>
                <c:pt idx="137">
                  <c:v>45489</c:v>
                </c:pt>
                <c:pt idx="138">
                  <c:v>45490</c:v>
                </c:pt>
                <c:pt idx="139">
                  <c:v>45491</c:v>
                </c:pt>
                <c:pt idx="140">
                  <c:v>45492</c:v>
                </c:pt>
                <c:pt idx="141">
                  <c:v>45493</c:v>
                </c:pt>
                <c:pt idx="142">
                  <c:v>45494</c:v>
                </c:pt>
                <c:pt idx="143">
                  <c:v>45495</c:v>
                </c:pt>
                <c:pt idx="144">
                  <c:v>45496</c:v>
                </c:pt>
                <c:pt idx="145">
                  <c:v>45497</c:v>
                </c:pt>
                <c:pt idx="146">
                  <c:v>45498</c:v>
                </c:pt>
                <c:pt idx="147">
                  <c:v>45499</c:v>
                </c:pt>
                <c:pt idx="148">
                  <c:v>45500</c:v>
                </c:pt>
                <c:pt idx="149">
                  <c:v>45501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45507</c:v>
                </c:pt>
                <c:pt idx="156">
                  <c:v>45508</c:v>
                </c:pt>
                <c:pt idx="157">
                  <c:v>45509</c:v>
                </c:pt>
                <c:pt idx="158">
                  <c:v>45510</c:v>
                </c:pt>
                <c:pt idx="159">
                  <c:v>45511</c:v>
                </c:pt>
                <c:pt idx="160">
                  <c:v>45512</c:v>
                </c:pt>
                <c:pt idx="161">
                  <c:v>45513</c:v>
                </c:pt>
                <c:pt idx="162">
                  <c:v>45514</c:v>
                </c:pt>
                <c:pt idx="163">
                  <c:v>45515</c:v>
                </c:pt>
                <c:pt idx="164">
                  <c:v>45516</c:v>
                </c:pt>
                <c:pt idx="165">
                  <c:v>45517</c:v>
                </c:pt>
                <c:pt idx="166">
                  <c:v>45518</c:v>
                </c:pt>
                <c:pt idx="167">
                  <c:v>45519</c:v>
                </c:pt>
                <c:pt idx="168">
                  <c:v>45520</c:v>
                </c:pt>
                <c:pt idx="169">
                  <c:v>45521</c:v>
                </c:pt>
                <c:pt idx="170">
                  <c:v>45522</c:v>
                </c:pt>
                <c:pt idx="171">
                  <c:v>45523</c:v>
                </c:pt>
                <c:pt idx="172">
                  <c:v>45524</c:v>
                </c:pt>
                <c:pt idx="173">
                  <c:v>45525</c:v>
                </c:pt>
                <c:pt idx="174">
                  <c:v>45526</c:v>
                </c:pt>
                <c:pt idx="175">
                  <c:v>45527</c:v>
                </c:pt>
                <c:pt idx="176">
                  <c:v>45528</c:v>
                </c:pt>
                <c:pt idx="177">
                  <c:v>45529</c:v>
                </c:pt>
                <c:pt idx="178">
                  <c:v>45530</c:v>
                </c:pt>
                <c:pt idx="179">
                  <c:v>45531</c:v>
                </c:pt>
                <c:pt idx="180">
                  <c:v>45532</c:v>
                </c:pt>
                <c:pt idx="181">
                  <c:v>45533</c:v>
                </c:pt>
                <c:pt idx="182">
                  <c:v>45534</c:v>
                </c:pt>
                <c:pt idx="183">
                  <c:v>45535</c:v>
                </c:pt>
                <c:pt idx="184">
                  <c:v>45536</c:v>
                </c:pt>
                <c:pt idx="185">
                  <c:v>45537</c:v>
                </c:pt>
                <c:pt idx="186">
                  <c:v>45538</c:v>
                </c:pt>
                <c:pt idx="187">
                  <c:v>45539</c:v>
                </c:pt>
                <c:pt idx="188">
                  <c:v>45540</c:v>
                </c:pt>
                <c:pt idx="189">
                  <c:v>45541</c:v>
                </c:pt>
                <c:pt idx="190">
                  <c:v>45542</c:v>
                </c:pt>
                <c:pt idx="191">
                  <c:v>45543</c:v>
                </c:pt>
                <c:pt idx="192">
                  <c:v>45544</c:v>
                </c:pt>
                <c:pt idx="193">
                  <c:v>45545</c:v>
                </c:pt>
                <c:pt idx="194">
                  <c:v>45546</c:v>
                </c:pt>
                <c:pt idx="195">
                  <c:v>45547</c:v>
                </c:pt>
                <c:pt idx="196">
                  <c:v>45548</c:v>
                </c:pt>
                <c:pt idx="197">
                  <c:v>45549</c:v>
                </c:pt>
                <c:pt idx="198">
                  <c:v>45550</c:v>
                </c:pt>
                <c:pt idx="199">
                  <c:v>45551</c:v>
                </c:pt>
                <c:pt idx="200">
                  <c:v>45552</c:v>
                </c:pt>
                <c:pt idx="201">
                  <c:v>45553</c:v>
                </c:pt>
                <c:pt idx="202">
                  <c:v>45554</c:v>
                </c:pt>
                <c:pt idx="203">
                  <c:v>45555</c:v>
                </c:pt>
                <c:pt idx="204">
                  <c:v>45556</c:v>
                </c:pt>
                <c:pt idx="205">
                  <c:v>45557</c:v>
                </c:pt>
                <c:pt idx="206">
                  <c:v>45558</c:v>
                </c:pt>
                <c:pt idx="207">
                  <c:v>45559</c:v>
                </c:pt>
                <c:pt idx="208">
                  <c:v>45560</c:v>
                </c:pt>
                <c:pt idx="209">
                  <c:v>45561</c:v>
                </c:pt>
                <c:pt idx="210">
                  <c:v>45562</c:v>
                </c:pt>
                <c:pt idx="211">
                  <c:v>45563</c:v>
                </c:pt>
                <c:pt idx="212">
                  <c:v>45564</c:v>
                </c:pt>
                <c:pt idx="213">
                  <c:v>45565</c:v>
                </c:pt>
                <c:pt idx="214">
                  <c:v>45566</c:v>
                </c:pt>
                <c:pt idx="215">
                  <c:v>45567</c:v>
                </c:pt>
                <c:pt idx="216">
                  <c:v>45568</c:v>
                </c:pt>
                <c:pt idx="217">
                  <c:v>45569</c:v>
                </c:pt>
                <c:pt idx="218">
                  <c:v>45570</c:v>
                </c:pt>
                <c:pt idx="219">
                  <c:v>45571</c:v>
                </c:pt>
                <c:pt idx="220">
                  <c:v>45572</c:v>
                </c:pt>
                <c:pt idx="221">
                  <c:v>45573</c:v>
                </c:pt>
                <c:pt idx="222">
                  <c:v>45574</c:v>
                </c:pt>
                <c:pt idx="223">
                  <c:v>45575</c:v>
                </c:pt>
                <c:pt idx="224">
                  <c:v>45576</c:v>
                </c:pt>
                <c:pt idx="225">
                  <c:v>45577</c:v>
                </c:pt>
                <c:pt idx="226">
                  <c:v>45578</c:v>
                </c:pt>
                <c:pt idx="227">
                  <c:v>45579</c:v>
                </c:pt>
                <c:pt idx="228">
                  <c:v>45580</c:v>
                </c:pt>
                <c:pt idx="229">
                  <c:v>45581</c:v>
                </c:pt>
                <c:pt idx="230">
                  <c:v>45582</c:v>
                </c:pt>
                <c:pt idx="231">
                  <c:v>45583</c:v>
                </c:pt>
                <c:pt idx="232">
                  <c:v>45584</c:v>
                </c:pt>
                <c:pt idx="233">
                  <c:v>45585</c:v>
                </c:pt>
                <c:pt idx="234">
                  <c:v>45586</c:v>
                </c:pt>
                <c:pt idx="235">
                  <c:v>45587</c:v>
                </c:pt>
                <c:pt idx="236">
                  <c:v>45588</c:v>
                </c:pt>
                <c:pt idx="237">
                  <c:v>45589</c:v>
                </c:pt>
                <c:pt idx="238">
                  <c:v>45590</c:v>
                </c:pt>
                <c:pt idx="239">
                  <c:v>45591</c:v>
                </c:pt>
                <c:pt idx="240">
                  <c:v>45592</c:v>
                </c:pt>
                <c:pt idx="241">
                  <c:v>45593</c:v>
                </c:pt>
                <c:pt idx="242">
                  <c:v>45594</c:v>
                </c:pt>
                <c:pt idx="243">
                  <c:v>45595</c:v>
                </c:pt>
                <c:pt idx="244">
                  <c:v>45596</c:v>
                </c:pt>
                <c:pt idx="245">
                  <c:v>45597</c:v>
                </c:pt>
                <c:pt idx="246">
                  <c:v>45598</c:v>
                </c:pt>
                <c:pt idx="247">
                  <c:v>45599</c:v>
                </c:pt>
                <c:pt idx="248">
                  <c:v>45600</c:v>
                </c:pt>
                <c:pt idx="249">
                  <c:v>45601</c:v>
                </c:pt>
                <c:pt idx="250">
                  <c:v>45602</c:v>
                </c:pt>
                <c:pt idx="251">
                  <c:v>45603</c:v>
                </c:pt>
                <c:pt idx="252">
                  <c:v>45604</c:v>
                </c:pt>
                <c:pt idx="253">
                  <c:v>45605</c:v>
                </c:pt>
                <c:pt idx="254">
                  <c:v>45606</c:v>
                </c:pt>
                <c:pt idx="255">
                  <c:v>45607</c:v>
                </c:pt>
                <c:pt idx="256">
                  <c:v>45608</c:v>
                </c:pt>
                <c:pt idx="257">
                  <c:v>45609</c:v>
                </c:pt>
                <c:pt idx="258">
                  <c:v>45610</c:v>
                </c:pt>
                <c:pt idx="259">
                  <c:v>45611</c:v>
                </c:pt>
                <c:pt idx="260">
                  <c:v>45612</c:v>
                </c:pt>
                <c:pt idx="261">
                  <c:v>45613</c:v>
                </c:pt>
                <c:pt idx="262">
                  <c:v>45614</c:v>
                </c:pt>
                <c:pt idx="263">
                  <c:v>45615</c:v>
                </c:pt>
                <c:pt idx="264">
                  <c:v>45616</c:v>
                </c:pt>
                <c:pt idx="265">
                  <c:v>45617</c:v>
                </c:pt>
                <c:pt idx="266">
                  <c:v>45618</c:v>
                </c:pt>
                <c:pt idx="267">
                  <c:v>45619</c:v>
                </c:pt>
                <c:pt idx="268">
                  <c:v>45620</c:v>
                </c:pt>
                <c:pt idx="269">
                  <c:v>45621</c:v>
                </c:pt>
                <c:pt idx="270">
                  <c:v>45622</c:v>
                </c:pt>
                <c:pt idx="271">
                  <c:v>45623</c:v>
                </c:pt>
                <c:pt idx="272">
                  <c:v>45624</c:v>
                </c:pt>
                <c:pt idx="273">
                  <c:v>45625</c:v>
                </c:pt>
                <c:pt idx="274">
                  <c:v>45626</c:v>
                </c:pt>
                <c:pt idx="275">
                  <c:v>45627</c:v>
                </c:pt>
                <c:pt idx="276">
                  <c:v>45628</c:v>
                </c:pt>
                <c:pt idx="277">
                  <c:v>45629</c:v>
                </c:pt>
              </c:numCache>
            </c:numRef>
          </c:cat>
          <c:val>
            <c:numRef>
              <c:f>'Forecast '!$E$2:$E$279</c:f>
              <c:numCache>
                <c:formatCode>General</c:formatCode>
                <c:ptCount val="278"/>
                <c:pt idx="138" formatCode="0.0">
                  <c:v>27.92</c:v>
                </c:pt>
                <c:pt idx="139" formatCode="0.0">
                  <c:v>34.84044527419266</c:v>
                </c:pt>
                <c:pt idx="140" formatCode="0.0">
                  <c:v>34.83740576987492</c:v>
                </c:pt>
                <c:pt idx="141" formatCode="0.0">
                  <c:v>34.83464172222628</c:v>
                </c:pt>
                <c:pt idx="142" formatCode="0.0">
                  <c:v>34.832150939535644</c:v>
                </c:pt>
                <c:pt idx="143" formatCode="0.0">
                  <c:v>34.829931250254859</c:v>
                </c:pt>
                <c:pt idx="144" formatCode="0.0">
                  <c:v>34.827980503486813</c:v>
                </c:pt>
                <c:pt idx="145" formatCode="0.0">
                  <c:v>34.826296569422404</c:v>
                </c:pt>
                <c:pt idx="146" formatCode="0.0">
                  <c:v>34.824877339729419</c:v>
                </c:pt>
                <c:pt idx="147" formatCode="0.0">
                  <c:v>34.82372072789542</c:v>
                </c:pt>
                <c:pt idx="148" formatCode="0.0">
                  <c:v>34.822824669527449</c:v>
                </c:pt>
                <c:pt idx="149" formatCode="0.0">
                  <c:v>34.822187122610472</c:v>
                </c:pt>
                <c:pt idx="150" formatCode="0.0">
                  <c:v>34.82180606772728</c:v>
                </c:pt>
                <c:pt idx="151" formatCode="0.0">
                  <c:v>34.821679508241566</c:v>
                </c:pt>
                <c:pt idx="152" formatCode="0.0">
                  <c:v>34.821805470446733</c:v>
                </c:pt>
                <c:pt idx="153" formatCode="0.0">
                  <c:v>34.822182003682045</c:v>
                </c:pt>
                <c:pt idx="154" formatCode="0.0">
                  <c:v>34.82280718041843</c:v>
                </c:pt>
                <c:pt idx="155" formatCode="0.0">
                  <c:v>34.823679096315466</c:v>
                </c:pt>
                <c:pt idx="156" formatCode="0.0">
                  <c:v>34.824795870251684</c:v>
                </c:pt>
                <c:pt idx="157" formatCode="0.0">
                  <c:v>34.826155644329539</c:v>
                </c:pt>
                <c:pt idx="158" formatCode="0.0">
                  <c:v>34.827756583857052</c:v>
                </c:pt>
                <c:pt idx="159" formatCode="0.0">
                  <c:v>34.829596877307367</c:v>
                </c:pt>
                <c:pt idx="160" formatCode="0.0">
                  <c:v>34.83167473625798</c:v>
                </c:pt>
                <c:pt idx="161" formatCode="0.0">
                  <c:v>34.833988395310826</c:v>
                </c:pt>
                <c:pt idx="162" formatCode="0.0">
                  <c:v>34.83653611199486</c:v>
                </c:pt>
                <c:pt idx="163" formatCode="0.0">
                  <c:v>34.839316166652132</c:v>
                </c:pt>
                <c:pt idx="164" formatCode="0.0">
                  <c:v>34.842326862308838</c:v>
                </c:pt>
                <c:pt idx="165" formatCode="0.0">
                  <c:v>34.845566524532281</c:v>
                </c:pt>
                <c:pt idx="166" formatCode="0.0">
                  <c:v>34.849033501275159</c:v>
                </c:pt>
                <c:pt idx="167" formatCode="0.0">
                  <c:v>34.852726162707796</c:v>
                </c:pt>
                <c:pt idx="168" formatCode="0.0">
                  <c:v>34.856642901039862</c:v>
                </c:pt>
                <c:pt idx="169" formatCode="0.0">
                  <c:v>34.860782130331891</c:v>
                </c:pt>
                <c:pt idx="170" formatCode="0.0">
                  <c:v>34.865142286298173</c:v>
                </c:pt>
                <c:pt idx="171" formatCode="0.0">
                  <c:v>34.86972182610117</c:v>
                </c:pt>
                <c:pt idx="172" formatCode="0.0">
                  <c:v>34.874519228138908</c:v>
                </c:pt>
                <c:pt idx="173" formatCode="0.0">
                  <c:v>34.879532991825506</c:v>
                </c:pt>
                <c:pt idx="174" formatCode="0.0">
                  <c:v>34.884761637366061</c:v>
                </c:pt>
                <c:pt idx="175" formatCode="0.0">
                  <c:v>34.890203705526119</c:v>
                </c:pt>
                <c:pt idx="176" formatCode="0.0">
                  <c:v>34.895857757396698</c:v>
                </c:pt>
                <c:pt idx="177" formatCode="0.0">
                  <c:v>34.901722374155192</c:v>
                </c:pt>
                <c:pt idx="178" formatCode="0.0">
                  <c:v>34.90779615682299</c:v>
                </c:pt>
                <c:pt idx="179" formatCode="0.0">
                  <c:v>34.914077726019904</c:v>
                </c:pt>
                <c:pt idx="180" formatCode="0.0">
                  <c:v>34.920565721716457</c:v>
                </c:pt>
                <c:pt idx="181" formatCode="0.0">
                  <c:v>34.927258802983879</c:v>
                </c:pt>
                <c:pt idx="182" formatCode="0.0">
                  <c:v>34.934155647742784</c:v>
                </c:pt>
                <c:pt idx="183" formatCode="0.0">
                  <c:v>34.941254952510462</c:v>
                </c:pt>
                <c:pt idx="184" formatCode="0.0">
                  <c:v>34.948555432147565</c:v>
                </c:pt>
                <c:pt idx="185" formatCode="0.0">
                  <c:v>34.95605581960411</c:v>
                </c:pt>
                <c:pt idx="186" formatCode="0.0">
                  <c:v>34.963754865665585</c:v>
                </c:pt>
                <c:pt idx="187" formatCode="0.0">
                  <c:v>34.971651338698948</c:v>
                </c:pt>
                <c:pt idx="188" formatCode="0.0">
                  <c:v>34.979744024399338</c:v>
                </c:pt>
                <c:pt idx="189" formatCode="0.0">
                  <c:v>34.988031725537184</c:v>
                </c:pt>
                <c:pt idx="190" formatCode="0.0">
                  <c:v>34.996513261706504</c:v>
                </c:pt>
                <c:pt idx="191" formatCode="0.0">
                  <c:v>35.005187469074109</c:v>
                </c:pt>
                <c:pt idx="192" formatCode="0.0">
                  <c:v>35.014053200130377</c:v>
                </c:pt>
                <c:pt idx="193" formatCode="0.0">
                  <c:v>35.023109323441282</c:v>
                </c:pt>
                <c:pt idx="194" formatCode="0.0">
                  <c:v>35.032354723402435</c:v>
                </c:pt>
                <c:pt idx="195" formatCode="0.0">
                  <c:v>35.041788299994664</c:v>
                </c:pt>
                <c:pt idx="196" formatCode="0.0">
                  <c:v>35.051408968541828</c:v>
                </c:pt>
                <c:pt idx="197" formatCode="0.0">
                  <c:v>35.061215659470562</c:v>
                </c:pt>
                <c:pt idx="198" formatCode="0.0">
                  <c:v>35.071207318072453</c:v>
                </c:pt>
                <c:pt idx="199" formatCode="0.0">
                  <c:v>35.081382904268303</c:v>
                </c:pt>
                <c:pt idx="200" formatCode="0.0">
                  <c:v>35.091741392375127</c:v>
                </c:pt>
                <c:pt idx="201" formatCode="0.0">
                  <c:v>35.102281770875372</c:v>
                </c:pt>
                <c:pt idx="202" formatCode="0.0">
                  <c:v>35.113003042188978</c:v>
                </c:pt>
                <c:pt idx="203" formatCode="0.0">
                  <c:v>35.123904222447919</c:v>
                </c:pt>
                <c:pt idx="204" formatCode="0.0">
                  <c:v>35.134984341273601</c:v>
                </c:pt>
                <c:pt idx="205" formatCode="0.0">
                  <c:v>35.146242441556893</c:v>
                </c:pt>
                <c:pt idx="206" formatCode="0.0">
                  <c:v>35.157677579241117</c:v>
                </c:pt>
                <c:pt idx="207" formatCode="0.0">
                  <c:v>35.16928882310777</c:v>
                </c:pt>
                <c:pt idx="208" formatCode="0.0">
                  <c:v>35.181075254565208</c:v>
                </c:pt>
                <c:pt idx="209" formatCode="0.0">
                  <c:v>35.193035967440153</c:v>
                </c:pt>
                <c:pt idx="210" formatCode="0.0">
                  <c:v>35.205170067772251</c:v>
                </c:pt>
                <c:pt idx="211" formatCode="0.0">
                  <c:v>35.217476673611387</c:v>
                </c:pt>
                <c:pt idx="212" formatCode="0.0">
                  <c:v>35.229954914818187</c:v>
                </c:pt>
                <c:pt idx="213" formatCode="0.0">
                  <c:v>35.242603932867212</c:v>
                </c:pt>
                <c:pt idx="214" formatCode="0.0">
                  <c:v>35.255422880653363</c:v>
                </c:pt>
                <c:pt idx="215" formatCode="0.0">
                  <c:v>35.268410922301015</c:v>
                </c:pt>
                <c:pt idx="216" formatCode="0.0">
                  <c:v>35.281567232976307</c:v>
                </c:pt>
                <c:pt idx="217" formatCode="0.0">
                  <c:v>35.294890998702158</c:v>
                </c:pt>
                <c:pt idx="218" formatCode="0.0">
                  <c:v>35.308381416176431</c:v>
                </c:pt>
                <c:pt idx="219" formatCode="0.0">
                  <c:v>35.322037692592822</c:v>
                </c:pt>
                <c:pt idx="220" formatCode="0.0">
                  <c:v>35.335859045464801</c:v>
                </c:pt>
                <c:pt idx="221" formatCode="0.0">
                  <c:v>35.349844702452252</c:v>
                </c:pt>
                <c:pt idx="222" formatCode="0.0">
                  <c:v>35.363993901191215</c:v>
                </c:pt>
                <c:pt idx="223" formatCode="0.0">
                  <c:v>35.37830588912621</c:v>
                </c:pt>
                <c:pt idx="224" formatCode="0.0">
                  <c:v>35.392779923345543</c:v>
                </c:pt>
                <c:pt idx="225" formatCode="0.0">
                  <c:v>35.407415270419293</c:v>
                </c:pt>
                <c:pt idx="226" formatCode="0.0">
                  <c:v>35.422211206240156</c:v>
                </c:pt>
                <c:pt idx="227" formatCode="0.0">
                  <c:v>35.437167015866876</c:v>
                </c:pt>
                <c:pt idx="228" formatCode="0.0">
                  <c:v>35.452281993370541</c:v>
                </c:pt>
                <c:pt idx="229" formatCode="0.0">
                  <c:v>35.467555441683366</c:v>
                </c:pt>
                <c:pt idx="230" formatCode="0.0">
                  <c:v>35.482986672450302</c:v>
                </c:pt>
                <c:pt idx="231" formatCode="0.0">
                  <c:v>35.498575005883019</c:v>
                </c:pt>
                <c:pt idx="232" formatCode="0.0">
                  <c:v>35.514319770616709</c:v>
                </c:pt>
                <c:pt idx="233" formatCode="0.0">
                  <c:v>35.530220303569187</c:v>
                </c:pt>
                <c:pt idx="234" formatCode="0.0">
                  <c:v>35.546275949802677</c:v>
                </c:pt>
                <c:pt idx="235" formatCode="0.0">
                  <c:v>35.562486062387904</c:v>
                </c:pt>
                <c:pt idx="236" formatCode="0.0">
                  <c:v>35.578850002270812</c:v>
                </c:pt>
                <c:pt idx="237" formatCode="0.0">
                  <c:v>35.595367138141405</c:v>
                </c:pt>
                <c:pt idx="238" formatCode="0.0">
                  <c:v>35.612036846305266</c:v>
                </c:pt>
                <c:pt idx="239" formatCode="0.0">
                  <c:v>35.62885851055708</c:v>
                </c:pt>
                <c:pt idx="240" formatCode="0.0">
                  <c:v>35.645831522056731</c:v>
                </c:pt>
                <c:pt idx="241" formatCode="0.0">
                  <c:v>35.662955279207395</c:v>
                </c:pt>
                <c:pt idx="242" formatCode="0.0">
                  <c:v>35.680229187536071</c:v>
                </c:pt>
                <c:pt idx="243" formatCode="0.0">
                  <c:v>35.697652659576107</c:v>
                </c:pt>
                <c:pt idx="244" formatCode="0.0">
                  <c:v>35.715225114752045</c:v>
                </c:pt>
                <c:pt idx="245" formatCode="0.0">
                  <c:v>35.732945979266361</c:v>
                </c:pt>
                <c:pt idx="246" formatCode="0.0">
                  <c:v>35.75081468598853</c:v>
                </c:pt>
                <c:pt idx="247" formatCode="0.0">
                  <c:v>35.768830674345878</c:v>
                </c:pt>
                <c:pt idx="248" formatCode="0.0">
                  <c:v>35.786993390216686</c:v>
                </c:pt>
                <c:pt idx="249" formatCode="0.0">
                  <c:v>35.805302285824993</c:v>
                </c:pt>
                <c:pt idx="250" formatCode="0.0">
                  <c:v>35.823756819637595</c:v>
                </c:pt>
                <c:pt idx="251" formatCode="0.0">
                  <c:v>35.842356456262735</c:v>
                </c:pt>
                <c:pt idx="252" formatCode="0.0">
                  <c:v>35.861100666350836</c:v>
                </c:pt>
                <c:pt idx="253" formatCode="0.0">
                  <c:v>35.879988926496871</c:v>
                </c:pt>
                <c:pt idx="254" formatCode="0.0">
                  <c:v>35.899020719144772</c:v>
                </c:pt>
                <c:pt idx="255" formatCode="0.0">
                  <c:v>35.91819553249335</c:v>
                </c:pt>
                <c:pt idx="256" formatCode="0.0">
                  <c:v>35.93751286040419</c:v>
                </c:pt>
                <c:pt idx="257" formatCode="0.0">
                  <c:v>35.956972202311022</c:v>
                </c:pt>
                <c:pt idx="258" formatCode="0.0">
                  <c:v>35.976573063131028</c:v>
                </c:pt>
                <c:pt idx="259" formatCode="0.0">
                  <c:v>35.99631495317746</c:v>
                </c:pt>
                <c:pt idx="260" formatCode="0.0">
                  <c:v>36.016197388074254</c:v>
                </c:pt>
                <c:pt idx="261" formatCode="0.0">
                  <c:v>36.03621988867183</c:v>
                </c:pt>
                <c:pt idx="262" formatCode="0.0">
                  <c:v>36.056381980964801</c:v>
                </c:pt>
                <c:pt idx="263" formatCode="0.0">
                  <c:v>36.07668319601089</c:v>
                </c:pt>
                <c:pt idx="264" formatCode="0.0">
                  <c:v>36.097123069851641</c:v>
                </c:pt>
                <c:pt idx="265" formatCode="0.0">
                  <c:v>36.117701143434296</c:v>
                </c:pt>
                <c:pt idx="266" formatCode="0.0">
                  <c:v>36.138416962535374</c:v>
                </c:pt>
                <c:pt idx="267" formatCode="0.0">
                  <c:v>36.159270077685463</c:v>
                </c:pt>
                <c:pt idx="268" formatCode="0.0">
                  <c:v>36.180260044095519</c:v>
                </c:pt>
                <c:pt idx="269" formatCode="0.0">
                  <c:v>36.201386421584438</c:v>
                </c:pt>
                <c:pt idx="270" formatCode="0.0">
                  <c:v>36.222648774508052</c:v>
                </c:pt>
                <c:pt idx="271" formatCode="0.0">
                  <c:v>36.244046671689276</c:v>
                </c:pt>
                <c:pt idx="272" formatCode="0.0">
                  <c:v>36.265579686349739</c:v>
                </c:pt>
                <c:pt idx="273" formatCode="0.0">
                  <c:v>36.28724739604246</c:v>
                </c:pt>
                <c:pt idx="274" formatCode="0.0">
                  <c:v>36.309049382585954</c:v>
                </c:pt>
                <c:pt idx="275" formatCode="0.0">
                  <c:v>36.330985231999307</c:v>
                </c:pt>
                <c:pt idx="276" formatCode="0.0">
                  <c:v>36.353054534438726</c:v>
                </c:pt>
                <c:pt idx="277" formatCode="0.0">
                  <c:v>36.375256884134942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BA-4439-B313-594A774B7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298079"/>
        <c:axId val="1597299039"/>
      </c:lineChart>
      <c:catAx>
        <c:axId val="159729807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99039"/>
        <c:crosses val="autoZero"/>
        <c:auto val="1"/>
        <c:lblAlgn val="ctr"/>
        <c:lblOffset val="100"/>
        <c:noMultiLvlLbl val="0"/>
      </c:catAx>
      <c:valAx>
        <c:axId val="1597299039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98079"/>
        <c:crosses val="autoZero"/>
        <c:crossBetween val="between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rgbClr val="C00000">
          <a:alpha val="40000"/>
        </a:srgbClr>
      </a:glow>
      <a:innerShdw blurRad="114300" dist="12700">
        <a:prstClr val="black"/>
      </a:innerShdw>
    </a:effectLst>
    <a:scene3d>
      <a:camera prst="orthographicFront"/>
      <a:lightRig rig="threePt" dir="t"/>
    </a:scene3d>
    <a:sp3d>
      <a:bevelT/>
      <a:bevelB prst="angle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project template.xlsm]Pivot!PivotTable2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Sales</a:t>
            </a:r>
            <a:r>
              <a:rPr lang="en-US" baseline="0">
                <a:solidFill>
                  <a:schemeClr val="bg1"/>
                </a:solidFill>
              </a:rPr>
              <a:t> by Coffee brand </a:t>
            </a:r>
            <a:endParaRPr lang="en-US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4.5467458277789552E-3"/>
              <c:y val="-0.1051248502453741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4.167802195324077E-17"/>
              <c:y val="-5.957074847237865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4.0920712450010367E-2"/>
              <c:y val="-6.657907182207022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4100593708342009E-2"/>
              <c:y val="-0.11914149694475734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6373966622231392E-2"/>
              <c:y val="-9.461236522083674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5.2287577019457576E-2"/>
              <c:y val="-6.307491014722452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7.2747933244462951E-2"/>
              <c:y val="-0.12965398196929478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6.8201187416684017E-2"/>
              <c:y val="-0.10512485024537416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4.5467458277789552E-3"/>
              <c:y val="-0.1051248502453741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4.167802195324077E-17"/>
              <c:y val="-5.957074847237865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4.0920712450010367E-2"/>
              <c:y val="-6.657907182207022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4100593708342009E-2"/>
              <c:y val="-0.11914149694475734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6373966622231392E-2"/>
              <c:y val="-9.461236522083674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5.2287577019457576E-2"/>
              <c:y val="-6.307491014722452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7.2747933244462951E-2"/>
              <c:y val="-0.12965398196929478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6.8201187416684017E-2"/>
              <c:y val="-0.10512485024537416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9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4.5467458277789552E-3"/>
              <c:y val="-0.1051248502453741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4.167802195324077E-17"/>
              <c:y val="-5.957074847237865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1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4.0920712450010367E-2"/>
              <c:y val="-6.657907182207022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2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4100593708342009E-2"/>
              <c:y val="-0.11914149694475734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6373966622231392E-2"/>
              <c:y val="-9.461236522083674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4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5.2287577019457576E-2"/>
              <c:y val="-6.307491014722452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5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7.2747933244462951E-2"/>
              <c:y val="-0.12965398196929478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6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6.8201187416684017E-2"/>
              <c:y val="-0.10512485024537416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  <a:effectLst/>
            <a:sp3d>
              <a:contourClr>
                <a:srgbClr val="FF0000"/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347-4AFC-9039-A9CCC5C3E6DB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347-4AFC-9039-A9CCC5C3E6DB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347-4AFC-9039-A9CCC5C3E6DB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347-4AFC-9039-A9CCC5C3E6DB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D347-4AFC-9039-A9CCC5C3E6DB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D347-4AFC-9039-A9CCC5C3E6DB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D347-4AFC-9039-A9CCC5C3E6DB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D347-4AFC-9039-A9CCC5C3E6DB}"/>
              </c:ext>
            </c:extLst>
          </c:dPt>
          <c:dLbls>
            <c:dLbl>
              <c:idx val="0"/>
              <c:layout>
                <c:manualLayout>
                  <c:x val="-4.5467458277789552E-3"/>
                  <c:y val="-0.1051248502453741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347-4AFC-9039-A9CCC5C3E6DB}"/>
                </c:ext>
              </c:extLst>
            </c:dLbl>
            <c:dLbl>
              <c:idx val="1"/>
              <c:layout>
                <c:manualLayout>
                  <c:x val="-4.167802195324077E-17"/>
                  <c:y val="-5.9570748472378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47-4AFC-9039-A9CCC5C3E6DB}"/>
                </c:ext>
              </c:extLst>
            </c:dLbl>
            <c:dLbl>
              <c:idx val="2"/>
              <c:layout>
                <c:manualLayout>
                  <c:x val="4.0920712450010367E-2"/>
                  <c:y val="-6.6579071822070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347-4AFC-9039-A9CCC5C3E6DB}"/>
                </c:ext>
              </c:extLst>
            </c:dLbl>
            <c:dLbl>
              <c:idx val="3"/>
              <c:layout>
                <c:manualLayout>
                  <c:x val="3.4100593708342009E-2"/>
                  <c:y val="-0.1191414969447573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47-4AFC-9039-A9CCC5C3E6DB}"/>
                </c:ext>
              </c:extLst>
            </c:dLbl>
            <c:dLbl>
              <c:idx val="4"/>
              <c:layout>
                <c:manualLayout>
                  <c:x val="3.6373966622231392E-2"/>
                  <c:y val="-9.46123652208367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47-4AFC-9039-A9CCC5C3E6DB}"/>
                </c:ext>
              </c:extLst>
            </c:dLbl>
            <c:dLbl>
              <c:idx val="5"/>
              <c:layout>
                <c:manualLayout>
                  <c:x val="5.2287577019457576E-2"/>
                  <c:y val="-6.30749101472245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47-4AFC-9039-A9CCC5C3E6DB}"/>
                </c:ext>
              </c:extLst>
            </c:dLbl>
            <c:dLbl>
              <c:idx val="6"/>
              <c:layout>
                <c:manualLayout>
                  <c:x val="7.2747933244462951E-2"/>
                  <c:y val="-0.129653981969294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347-4AFC-9039-A9CCC5C3E6DB}"/>
                </c:ext>
              </c:extLst>
            </c:dLbl>
            <c:dLbl>
              <c:idx val="7"/>
              <c:layout>
                <c:manualLayout>
                  <c:x val="6.8201187416684017E-2"/>
                  <c:y val="-0.105124850245374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47-4AFC-9039-A9CCC5C3E6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Pivot!$A$4:$A$11</c:f>
              <c:strCache>
                <c:ptCount val="8"/>
                <c:pt idx="0">
                  <c:v>Latte</c:v>
                </c:pt>
                <c:pt idx="1">
                  <c:v>Americano With Milk</c:v>
                </c:pt>
                <c:pt idx="2">
                  <c:v>Cappuccino</c:v>
                </c:pt>
                <c:pt idx="3">
                  <c:v>Americano</c:v>
                </c:pt>
                <c:pt idx="4">
                  <c:v>Hot Chocolate</c:v>
                </c:pt>
                <c:pt idx="5">
                  <c:v>Cortado</c:v>
                </c:pt>
                <c:pt idx="6">
                  <c:v>Cocoa</c:v>
                </c:pt>
                <c:pt idx="7">
                  <c:v>Espresso</c:v>
                </c:pt>
              </c:strCache>
            </c:strRef>
          </c:cat>
          <c:val>
            <c:numRef>
              <c:f>Pivot!$B$4:$B$11</c:f>
              <c:numCache>
                <c:formatCode>General</c:formatCode>
                <c:ptCount val="8"/>
                <c:pt idx="0">
                  <c:v>7696.3400000000092</c:v>
                </c:pt>
                <c:pt idx="1">
                  <c:v>7457.219999999983</c:v>
                </c:pt>
                <c:pt idx="2">
                  <c:v>6709.5600000000049</c:v>
                </c:pt>
                <c:pt idx="3">
                  <c:v>4092.0600000000063</c:v>
                </c:pt>
                <c:pt idx="4">
                  <c:v>2680.0200000000004</c:v>
                </c:pt>
                <c:pt idx="5">
                  <c:v>2445.8200000000029</c:v>
                </c:pt>
                <c:pt idx="6">
                  <c:v>1066.2000000000003</c:v>
                </c:pt>
                <c:pt idx="7">
                  <c:v>919.41999999999962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47-4AFC-9039-A9CCC5C3E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43378399"/>
        <c:axId val="1043378879"/>
        <c:axId val="0"/>
      </c:bar3DChart>
      <c:catAx>
        <c:axId val="104337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378879"/>
        <c:crosses val="autoZero"/>
        <c:auto val="1"/>
        <c:lblAlgn val="ctr"/>
        <c:lblOffset val="100"/>
        <c:noMultiLvlLbl val="0"/>
      </c:catAx>
      <c:valAx>
        <c:axId val="1043378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37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[Coffee project template.xlsm]Pivot!PivotTable7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Coffee</a:t>
            </a:r>
            <a:r>
              <a:rPr lang="en-GB" baseline="0"/>
              <a:t> by demand</a:t>
            </a:r>
            <a:endParaRPr lang="en-GB"/>
          </a:p>
        </c:rich>
      </c:tx>
      <c:layout>
        <c:manualLayout>
          <c:xMode val="edge"/>
          <c:yMode val="edge"/>
          <c:x val="0.38041363654122357"/>
          <c:y val="2.47278757811440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5.0925337632079971E-17"/>
              <c:y val="-6.944444444444446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1.1111111111111112E-2"/>
              <c:y val="-5.555555555555555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6111111111111059E-2"/>
              <c:y val="-6.9444444444444489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5.8333333333333334E-2"/>
              <c:y val="-9.722222222222222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2.4999999999999897E-2"/>
              <c:y val="-6.944444444444444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6111111111111108E-2"/>
              <c:y val="-6.944444444444444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888888888888889E-2"/>
              <c:y val="-0.1111111111111111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6.3888888888888884E-2"/>
              <c:y val="-6.9444444444444489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5.0925337632079971E-17"/>
              <c:y val="-6.944444444444446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1.1111111111111112E-2"/>
              <c:y val="-5.555555555555555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6111111111111059E-2"/>
              <c:y val="-6.9444444444444489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5.8333333333333334E-2"/>
              <c:y val="-9.722222222222222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2.4999999999999897E-2"/>
              <c:y val="-6.944444444444444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6111111111111108E-2"/>
              <c:y val="-6.944444444444444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888888888888889E-2"/>
              <c:y val="-0.1111111111111111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6.3888888888888884E-2"/>
              <c:y val="-6.9444444444444489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9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5.0925337632079971E-17"/>
              <c:y val="-6.944444444444446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1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1.1111111111111112E-2"/>
              <c:y val="-5.555555555555555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2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6111111111111059E-2"/>
              <c:y val="-6.9444444444444489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5.8333333333333334E-2"/>
              <c:y val="-9.722222222222222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4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2.4999999999999897E-2"/>
              <c:y val="-6.944444444444444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5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6111111111111108E-2"/>
              <c:y val="-6.944444444444444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6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3.888888888888889E-2"/>
              <c:y val="-0.1111111111111111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7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6.3888888888888884E-2"/>
              <c:y val="-6.9444444444444489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6280606239839737E-2"/>
          <c:y val="0.1758298679712294"/>
          <c:w val="0.91310069835513574"/>
          <c:h val="0.6760579974642890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Pivot!$B$30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  <a:effectLst/>
            <a:sp3d>
              <a:contourClr>
                <a:srgbClr val="FF0000"/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83F-4083-A3D7-A77FCD2C74B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83F-4083-A3D7-A77FCD2C74B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83F-4083-A3D7-A77FCD2C74B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83F-4083-A3D7-A77FCD2C74B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D83F-4083-A3D7-A77FCD2C74B8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D83F-4083-A3D7-A77FCD2C74B8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D83F-4083-A3D7-A77FCD2C74B8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D83F-4083-A3D7-A77FCD2C74B8}"/>
              </c:ext>
            </c:extLst>
          </c:dPt>
          <c:dLbls>
            <c:dLbl>
              <c:idx val="0"/>
              <c:layout>
                <c:manualLayout>
                  <c:x val="-5.0925337632079971E-17"/>
                  <c:y val="-6.94444444444444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3F-4083-A3D7-A77FCD2C74B8}"/>
                </c:ext>
              </c:extLst>
            </c:dLbl>
            <c:dLbl>
              <c:idx val="1"/>
              <c:layout>
                <c:manualLayout>
                  <c:x val="1.1111111111111112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3F-4083-A3D7-A77FCD2C74B8}"/>
                </c:ext>
              </c:extLst>
            </c:dLbl>
            <c:dLbl>
              <c:idx val="2"/>
              <c:layout>
                <c:manualLayout>
                  <c:x val="3.6111111111111059E-2"/>
                  <c:y val="-6.94444444444444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3F-4083-A3D7-A77FCD2C74B8}"/>
                </c:ext>
              </c:extLst>
            </c:dLbl>
            <c:dLbl>
              <c:idx val="3"/>
              <c:layout>
                <c:manualLayout>
                  <c:x val="5.8333333333333334E-2"/>
                  <c:y val="-9.72222222222222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3F-4083-A3D7-A77FCD2C74B8}"/>
                </c:ext>
              </c:extLst>
            </c:dLbl>
            <c:dLbl>
              <c:idx val="4"/>
              <c:layout>
                <c:manualLayout>
                  <c:x val="2.4999999999999897E-2"/>
                  <c:y val="-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3F-4083-A3D7-A77FCD2C74B8}"/>
                </c:ext>
              </c:extLst>
            </c:dLbl>
            <c:dLbl>
              <c:idx val="5"/>
              <c:layout>
                <c:manualLayout>
                  <c:x val="3.6111111111111108E-2"/>
                  <c:y val="-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3F-4083-A3D7-A77FCD2C74B8}"/>
                </c:ext>
              </c:extLst>
            </c:dLbl>
            <c:dLbl>
              <c:idx val="6"/>
              <c:layout>
                <c:manualLayout>
                  <c:x val="3.888888888888889E-2"/>
                  <c:y val="-0.111111111111111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3F-4083-A3D7-A77FCD2C74B8}"/>
                </c:ext>
              </c:extLst>
            </c:dLbl>
            <c:dLbl>
              <c:idx val="7"/>
              <c:layout>
                <c:manualLayout>
                  <c:x val="6.3888888888888884E-2"/>
                  <c:y val="-6.94444444444444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3F-4083-A3D7-A77FCD2C74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Pivot!$A$31:$A$39</c:f>
              <c:strCache>
                <c:ptCount val="8"/>
                <c:pt idx="0">
                  <c:v>Americano With Milk</c:v>
                </c:pt>
                <c:pt idx="1">
                  <c:v>Latte</c:v>
                </c:pt>
                <c:pt idx="2">
                  <c:v>Cappuccino</c:v>
                </c:pt>
                <c:pt idx="3">
                  <c:v>Americano</c:v>
                </c:pt>
                <c:pt idx="4">
                  <c:v>Cortado</c:v>
                </c:pt>
                <c:pt idx="5">
                  <c:v>Hot Chocolate</c:v>
                </c:pt>
                <c:pt idx="6">
                  <c:v>Espresso</c:v>
                </c:pt>
                <c:pt idx="7">
                  <c:v>Cocoa</c:v>
                </c:pt>
              </c:strCache>
            </c:strRef>
          </c:cat>
          <c:val>
            <c:numRef>
              <c:f>Pivot!$B$31:$B$39</c:f>
              <c:numCache>
                <c:formatCode>General</c:formatCode>
                <c:ptCount val="8"/>
                <c:pt idx="0">
                  <c:v>227</c:v>
                </c:pt>
                <c:pt idx="1">
                  <c:v>203</c:v>
                </c:pt>
                <c:pt idx="2">
                  <c:v>177</c:v>
                </c:pt>
                <c:pt idx="3">
                  <c:v>145</c:v>
                </c:pt>
                <c:pt idx="4">
                  <c:v>86</c:v>
                </c:pt>
                <c:pt idx="5">
                  <c:v>71</c:v>
                </c:pt>
                <c:pt idx="6">
                  <c:v>39</c:v>
                </c:pt>
                <c:pt idx="7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3F-4083-A3D7-A77FCD2C7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43378399"/>
        <c:axId val="1043378879"/>
        <c:axId val="0"/>
      </c:bar3DChart>
      <c:catAx>
        <c:axId val="104337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378879"/>
        <c:crosses val="autoZero"/>
        <c:auto val="1"/>
        <c:lblAlgn val="ctr"/>
        <c:lblOffset val="100"/>
        <c:noMultiLvlLbl val="0"/>
      </c:catAx>
      <c:valAx>
        <c:axId val="1043378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37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project template.xlsm]Pivot!PivotTable3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Sale</a:t>
            </a:r>
            <a:r>
              <a:rPr lang="en-US" baseline="0">
                <a:solidFill>
                  <a:schemeClr val="bg1"/>
                </a:solidFill>
              </a:rPr>
              <a:t>s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2.2222222222222223E-2"/>
              <c:y val="-0.1359476564468503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0.10833333333333334"/>
              <c:y val="-0.10108928299894004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0.05"/>
              <c:y val="-9.063177096456694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2.7777777777777776E-2"/>
              <c:y val="0.13943349379164127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8.8888888888888892E-2"/>
              <c:y val="-0.20217856599787998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2.7777777777777776E-2"/>
              <c:y val="0.13943349379164127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8.8888888888888892E-2"/>
              <c:y val="-0.20217856599787998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2.2222222222222223E-2"/>
              <c:y val="-0.1359476564468503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0.10833333333333334"/>
              <c:y val="-0.10108928299894004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0.05"/>
              <c:y val="-9.063177096456694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2.7777777777777776E-2"/>
              <c:y val="0.13943349379164127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-8.8888888888888892E-2"/>
              <c:y val="-0.20217856599787998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2.2222222222222223E-2"/>
              <c:y val="-0.1359476564468503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0.10833333333333334"/>
              <c:y val="-0.10108928299894004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solidFill>
            <a:srgbClr val="FFFF00"/>
          </a:solidFill>
          <a:ln>
            <a:solidFill>
              <a:srgbClr val="FF0000"/>
            </a:solidFill>
          </a:ln>
          <a:effectLst/>
          <a:sp3d>
            <a:contourClr>
              <a:srgbClr val="FF0000"/>
            </a:contourClr>
          </a:sp3d>
        </c:spPr>
        <c:dLbl>
          <c:idx val="0"/>
          <c:layout>
            <c:manualLayout>
              <c:x val="0.05"/>
              <c:y val="-9.063177096456694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5224863490004457E-2"/>
          <c:y val="0.16280887929236817"/>
          <c:w val="0.85221247683901624"/>
          <c:h val="0.71127560961037617"/>
        </c:manualLayout>
      </c:layout>
      <c:line3DChart>
        <c:grouping val="standard"/>
        <c:varyColors val="0"/>
        <c:ser>
          <c:idx val="0"/>
          <c:order val="0"/>
          <c:tx>
            <c:strRef>
              <c:f>Pivot!$K$3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  <a:effectLst/>
            <a:sp3d>
              <a:contourClr>
                <a:srgbClr val="FF0000"/>
              </a:contourClr>
            </a:sp3d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473B-4609-A238-FA7A73B9640F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473B-4609-A238-FA7A73B9640F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473B-4609-A238-FA7A73B9640F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473B-4609-A238-FA7A73B9640F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473B-4609-A238-FA7A73B9640F}"/>
              </c:ext>
            </c:extLst>
          </c:dPt>
          <c:dLbls>
            <c:dLbl>
              <c:idx val="0"/>
              <c:layout>
                <c:manualLayout>
                  <c:x val="-2.7777777777777776E-2"/>
                  <c:y val="0.139433493791641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73B-4609-A238-FA7A73B9640F}"/>
                </c:ext>
              </c:extLst>
            </c:dLbl>
            <c:dLbl>
              <c:idx val="1"/>
              <c:layout>
                <c:manualLayout>
                  <c:x val="-8.8888888888888892E-2"/>
                  <c:y val="-0.2021785659978799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73B-4609-A238-FA7A73B9640F}"/>
                </c:ext>
              </c:extLst>
            </c:dLbl>
            <c:dLbl>
              <c:idx val="2"/>
              <c:layout>
                <c:manualLayout>
                  <c:x val="2.2222222222222223E-2"/>
                  <c:y val="-0.1359476564468503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73B-4609-A238-FA7A73B9640F}"/>
                </c:ext>
              </c:extLst>
            </c:dLbl>
            <c:dLbl>
              <c:idx val="3"/>
              <c:layout>
                <c:manualLayout>
                  <c:x val="0.10833333333333334"/>
                  <c:y val="-0.1010892829989400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3B-4609-A238-FA7A73B9640F}"/>
                </c:ext>
              </c:extLst>
            </c:dLbl>
            <c:dLbl>
              <c:idx val="4"/>
              <c:layout>
                <c:manualLayout>
                  <c:x val="0.05"/>
                  <c:y val="-9.06317709645669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73B-4609-A238-FA7A73B9640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Pivot!$J$4:$J$8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Pivot!$K$4:$K$8</c:f>
              <c:numCache>
                <c:formatCode>General</c:formatCode>
                <c:ptCount val="5"/>
                <c:pt idx="0">
                  <c:v>7050.1999999999871</c:v>
                </c:pt>
                <c:pt idx="1">
                  <c:v>6720.5600000000013</c:v>
                </c:pt>
                <c:pt idx="2">
                  <c:v>9063.4200000000019</c:v>
                </c:pt>
                <c:pt idx="3">
                  <c:v>7758.7600000000048</c:v>
                </c:pt>
                <c:pt idx="4">
                  <c:v>2473.7000000000016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73B-4609-A238-FA7A73B96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116015"/>
        <c:axId val="2130114095"/>
        <c:axId val="2131877919"/>
      </c:line3DChart>
      <c:catAx>
        <c:axId val="213011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14095"/>
        <c:crosses val="autoZero"/>
        <c:auto val="1"/>
        <c:lblAlgn val="ctr"/>
        <c:lblOffset val="100"/>
        <c:noMultiLvlLbl val="0"/>
      </c:catAx>
      <c:valAx>
        <c:axId val="2130114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16015"/>
        <c:crosses val="autoZero"/>
        <c:crossBetween val="between"/>
      </c:valAx>
      <c:serAx>
        <c:axId val="21318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14095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July 18 - december 3 Coffee</a:t>
            </a:r>
            <a:r>
              <a:rPr lang="en-US" baseline="0">
                <a:solidFill>
                  <a:schemeClr val="bg1"/>
                </a:solidFill>
              </a:rPr>
              <a:t> Sales </a:t>
            </a:r>
            <a:r>
              <a:rPr lang="en-US">
                <a:solidFill>
                  <a:schemeClr val="bg1"/>
                </a:solidFill>
              </a:rPr>
              <a:t>Forecast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'Forecast 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'Forecast '!$B$2:$B$279</c:f>
              <c:numCache>
                <c:formatCode>0.0</c:formatCode>
                <c:ptCount val="278"/>
                <c:pt idx="0">
                  <c:v>36.027272727272724</c:v>
                </c:pt>
                <c:pt idx="1">
                  <c:v>32.585714285714282</c:v>
                </c:pt>
                <c:pt idx="2">
                  <c:v>34.909999999999997</c:v>
                </c:pt>
                <c:pt idx="3">
                  <c:v>33.799999999999997</c:v>
                </c:pt>
                <c:pt idx="4">
                  <c:v>37.611111111111107</c:v>
                </c:pt>
                <c:pt idx="5">
                  <c:v>34.040000000000006</c:v>
                </c:pt>
                <c:pt idx="6">
                  <c:v>36.68333333333333</c:v>
                </c:pt>
                <c:pt idx="7">
                  <c:v>33.1875</c:v>
                </c:pt>
                <c:pt idx="8">
                  <c:v>34.24285714285714</c:v>
                </c:pt>
                <c:pt idx="9">
                  <c:v>33.085714285714282</c:v>
                </c:pt>
                <c:pt idx="10">
                  <c:v>34.4</c:v>
                </c:pt>
                <c:pt idx="11">
                  <c:v>32.585714285714289</c:v>
                </c:pt>
                <c:pt idx="12">
                  <c:v>28.466666666666672</c:v>
                </c:pt>
                <c:pt idx="13">
                  <c:v>33.091666666666661</c:v>
                </c:pt>
                <c:pt idx="14">
                  <c:v>35.866666666666667</c:v>
                </c:pt>
                <c:pt idx="15">
                  <c:v>30.533333333333331</c:v>
                </c:pt>
                <c:pt idx="16">
                  <c:v>34.450000000000003</c:v>
                </c:pt>
                <c:pt idx="17">
                  <c:v>28.9</c:v>
                </c:pt>
                <c:pt idx="18">
                  <c:v>36.65</c:v>
                </c:pt>
                <c:pt idx="19">
                  <c:v>35.65</c:v>
                </c:pt>
                <c:pt idx="20">
                  <c:v>34.200000000000003</c:v>
                </c:pt>
                <c:pt idx="21">
                  <c:v>31.566666666666663</c:v>
                </c:pt>
                <c:pt idx="22">
                  <c:v>35.637499999999996</c:v>
                </c:pt>
                <c:pt idx="23">
                  <c:v>39.35</c:v>
                </c:pt>
                <c:pt idx="24">
                  <c:v>37.266666666666673</c:v>
                </c:pt>
                <c:pt idx="25">
                  <c:v>34.245454545454542</c:v>
                </c:pt>
                <c:pt idx="26">
                  <c:v>33.962499999999999</c:v>
                </c:pt>
                <c:pt idx="27">
                  <c:v>31.35</c:v>
                </c:pt>
                <c:pt idx="28">
                  <c:v>39.025000000000006</c:v>
                </c:pt>
                <c:pt idx="29">
                  <c:v>37.979999999999997</c:v>
                </c:pt>
                <c:pt idx="30">
                  <c:v>34.35</c:v>
                </c:pt>
                <c:pt idx="31">
                  <c:v>34.68571428571429</c:v>
                </c:pt>
                <c:pt idx="32">
                  <c:v>34.125</c:v>
                </c:pt>
                <c:pt idx="33">
                  <c:v>31.625</c:v>
                </c:pt>
                <c:pt idx="34">
                  <c:v>37</c:v>
                </c:pt>
                <c:pt idx="35">
                  <c:v>32.918181818181814</c:v>
                </c:pt>
                <c:pt idx="36">
                  <c:v>35.024999999999999</c:v>
                </c:pt>
                <c:pt idx="37">
                  <c:v>34.5</c:v>
                </c:pt>
                <c:pt idx="38">
                  <c:v>34.019999999999996</c:v>
                </c:pt>
                <c:pt idx="39">
                  <c:v>37.220000000000006</c:v>
                </c:pt>
                <c:pt idx="40">
                  <c:v>33.28</c:v>
                </c:pt>
                <c:pt idx="41">
                  <c:v>33.799999999999997</c:v>
                </c:pt>
                <c:pt idx="42">
                  <c:v>33.799999999999997</c:v>
                </c:pt>
                <c:pt idx="43">
                  <c:v>37.799999999999997</c:v>
                </c:pt>
                <c:pt idx="44">
                  <c:v>33.407692307692308</c:v>
                </c:pt>
                <c:pt idx="45">
                  <c:v>30.080000000000002</c:v>
                </c:pt>
                <c:pt idx="46">
                  <c:v>34.5625</c:v>
                </c:pt>
                <c:pt idx="47">
                  <c:v>33.200000000000003</c:v>
                </c:pt>
                <c:pt idx="48">
                  <c:v>35.269999999999996</c:v>
                </c:pt>
                <c:pt idx="49">
                  <c:v>37.300000000000004</c:v>
                </c:pt>
                <c:pt idx="50">
                  <c:v>35.307142857142857</c:v>
                </c:pt>
                <c:pt idx="51">
                  <c:v>34.880000000000003</c:v>
                </c:pt>
                <c:pt idx="52">
                  <c:v>35.291999999999994</c:v>
                </c:pt>
                <c:pt idx="53">
                  <c:v>34.78</c:v>
                </c:pt>
                <c:pt idx="54">
                  <c:v>34.044999999999995</c:v>
                </c:pt>
                <c:pt idx="55">
                  <c:v>30.37</c:v>
                </c:pt>
                <c:pt idx="56">
                  <c:v>33.364444444444445</c:v>
                </c:pt>
                <c:pt idx="57">
                  <c:v>37.72</c:v>
                </c:pt>
                <c:pt idx="58">
                  <c:v>33.799999999999997</c:v>
                </c:pt>
                <c:pt idx="59">
                  <c:v>32.207500000000003</c:v>
                </c:pt>
                <c:pt idx="60">
                  <c:v>34.045000000000002</c:v>
                </c:pt>
                <c:pt idx="61">
                  <c:v>34.573928571428567</c:v>
                </c:pt>
                <c:pt idx="62">
                  <c:v>35.10285714285714</c:v>
                </c:pt>
                <c:pt idx="63">
                  <c:v>38.146666666666668</c:v>
                </c:pt>
                <c:pt idx="64">
                  <c:v>35.917111111111112</c:v>
                </c:pt>
                <c:pt idx="65">
                  <c:v>33.687555555555555</c:v>
                </c:pt>
                <c:pt idx="66">
                  <c:v>31.457999999999998</c:v>
                </c:pt>
                <c:pt idx="67">
                  <c:v>34.408000000000001</c:v>
                </c:pt>
                <c:pt idx="68">
                  <c:v>37.72</c:v>
                </c:pt>
                <c:pt idx="69">
                  <c:v>32.82</c:v>
                </c:pt>
                <c:pt idx="70">
                  <c:v>37.11</c:v>
                </c:pt>
                <c:pt idx="71">
                  <c:v>36.655000000000001</c:v>
                </c:pt>
                <c:pt idx="72">
                  <c:v>34.045000000000002</c:v>
                </c:pt>
                <c:pt idx="73">
                  <c:v>30.27333333333333</c:v>
                </c:pt>
                <c:pt idx="74">
                  <c:v>33.63666666666667</c:v>
                </c:pt>
                <c:pt idx="75">
                  <c:v>29.235000000000003</c:v>
                </c:pt>
                <c:pt idx="76">
                  <c:v>36.371111111111105</c:v>
                </c:pt>
                <c:pt idx="77">
                  <c:v>34.04</c:v>
                </c:pt>
                <c:pt idx="78">
                  <c:v>35.429999999999993</c:v>
                </c:pt>
                <c:pt idx="79">
                  <c:v>32.141538461538467</c:v>
                </c:pt>
                <c:pt idx="80">
                  <c:v>32.883529411764712</c:v>
                </c:pt>
                <c:pt idx="81">
                  <c:v>34.988888888888887</c:v>
                </c:pt>
                <c:pt idx="82">
                  <c:v>33.710909090909098</c:v>
                </c:pt>
                <c:pt idx="83">
                  <c:v>35.962500000000006</c:v>
                </c:pt>
                <c:pt idx="84">
                  <c:v>30.020000000000007</c:v>
                </c:pt>
                <c:pt idx="85">
                  <c:v>31.864999999999998</c:v>
                </c:pt>
                <c:pt idx="86">
                  <c:v>35.106666666666669</c:v>
                </c:pt>
                <c:pt idx="87">
                  <c:v>33.265454545454539</c:v>
                </c:pt>
                <c:pt idx="88">
                  <c:v>33.827272727272728</c:v>
                </c:pt>
                <c:pt idx="89">
                  <c:v>36.054545454545455</c:v>
                </c:pt>
                <c:pt idx="90">
                  <c:v>33.710909090909098</c:v>
                </c:pt>
                <c:pt idx="91">
                  <c:v>35.71142857142857</c:v>
                </c:pt>
                <c:pt idx="92">
                  <c:v>35.163636363636364</c:v>
                </c:pt>
                <c:pt idx="93">
                  <c:v>35.466666666666661</c:v>
                </c:pt>
                <c:pt idx="94">
                  <c:v>35.957142857142856</c:v>
                </c:pt>
                <c:pt idx="95">
                  <c:v>33.870000000000005</c:v>
                </c:pt>
                <c:pt idx="96">
                  <c:v>34.45333333333334</c:v>
                </c:pt>
                <c:pt idx="97">
                  <c:v>35.047272727272727</c:v>
                </c:pt>
                <c:pt idx="98">
                  <c:v>29.879999999999995</c:v>
                </c:pt>
                <c:pt idx="99">
                  <c:v>34.045000000000002</c:v>
                </c:pt>
                <c:pt idx="100">
                  <c:v>33.573846153846155</c:v>
                </c:pt>
                <c:pt idx="101">
                  <c:v>37.72</c:v>
                </c:pt>
                <c:pt idx="102">
                  <c:v>35.269999999999996</c:v>
                </c:pt>
                <c:pt idx="103">
                  <c:v>36.903333333333329</c:v>
                </c:pt>
                <c:pt idx="104">
                  <c:v>31.595000000000002</c:v>
                </c:pt>
                <c:pt idx="105">
                  <c:v>31.594999999999999</c:v>
                </c:pt>
                <c:pt idx="106">
                  <c:v>32.82</c:v>
                </c:pt>
                <c:pt idx="107">
                  <c:v>34.045000000000002</c:v>
                </c:pt>
                <c:pt idx="108">
                  <c:v>32.33</c:v>
                </c:pt>
                <c:pt idx="109">
                  <c:v>33.519999999999996</c:v>
                </c:pt>
                <c:pt idx="110">
                  <c:v>34.601818181818182</c:v>
                </c:pt>
                <c:pt idx="111">
                  <c:v>36.903333333333329</c:v>
                </c:pt>
                <c:pt idx="112">
                  <c:v>33.636666666666663</c:v>
                </c:pt>
                <c:pt idx="113">
                  <c:v>33.799999999999997</c:v>
                </c:pt>
                <c:pt idx="114">
                  <c:v>35.76</c:v>
                </c:pt>
                <c:pt idx="115">
                  <c:v>36.903333333333329</c:v>
                </c:pt>
                <c:pt idx="116">
                  <c:v>35.269999999999996</c:v>
                </c:pt>
                <c:pt idx="117">
                  <c:v>32.82</c:v>
                </c:pt>
                <c:pt idx="118">
                  <c:v>32.82</c:v>
                </c:pt>
                <c:pt idx="119">
                  <c:v>31.839999999999996</c:v>
                </c:pt>
                <c:pt idx="120">
                  <c:v>35.8825</c:v>
                </c:pt>
                <c:pt idx="121">
                  <c:v>32.819999999999993</c:v>
                </c:pt>
                <c:pt idx="122">
                  <c:v>32.82</c:v>
                </c:pt>
                <c:pt idx="123">
                  <c:v>32.00333333333333</c:v>
                </c:pt>
                <c:pt idx="124">
                  <c:v>34.453333333333333</c:v>
                </c:pt>
                <c:pt idx="125">
                  <c:v>30.37</c:v>
                </c:pt>
                <c:pt idx="126">
                  <c:v>30.370000000000005</c:v>
                </c:pt>
                <c:pt idx="127">
                  <c:v>32.82</c:v>
                </c:pt>
                <c:pt idx="128">
                  <c:v>31.483636363636364</c:v>
                </c:pt>
                <c:pt idx="129">
                  <c:v>27.919999999999998</c:v>
                </c:pt>
                <c:pt idx="130">
                  <c:v>28.9</c:v>
                </c:pt>
                <c:pt idx="131">
                  <c:v>27.92</c:v>
                </c:pt>
                <c:pt idx="132">
                  <c:v>29.145000000000003</c:v>
                </c:pt>
                <c:pt idx="133">
                  <c:v>30.860000000000003</c:v>
                </c:pt>
                <c:pt idx="134">
                  <c:v>32.82</c:v>
                </c:pt>
                <c:pt idx="135">
                  <c:v>28.736666666666665</c:v>
                </c:pt>
                <c:pt idx="136">
                  <c:v>32.82</c:v>
                </c:pt>
                <c:pt idx="137">
                  <c:v>30.37</c:v>
                </c:pt>
                <c:pt idx="138">
                  <c:v>27.92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FD-4A8C-B9FF-B5D9AC72107A}"/>
            </c:ext>
          </c:extLst>
        </c:ser>
        <c:ser>
          <c:idx val="1"/>
          <c:order val="1"/>
          <c:tx>
            <c:strRef>
              <c:f>'Forecast '!$C$1</c:f>
              <c:strCache>
                <c:ptCount val="1"/>
                <c:pt idx="0">
                  <c:v>Forecast(Sales)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 '!$A$2:$A$279</c:f>
              <c:numCache>
                <c:formatCode>m/d/yyyy</c:formatCode>
                <c:ptCount val="278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  <c:pt idx="30">
                  <c:v>45382</c:v>
                </c:pt>
                <c:pt idx="31">
                  <c:v>45383</c:v>
                </c:pt>
                <c:pt idx="32">
                  <c:v>45384</c:v>
                </c:pt>
                <c:pt idx="33">
                  <c:v>45385</c:v>
                </c:pt>
                <c:pt idx="34">
                  <c:v>45386</c:v>
                </c:pt>
                <c:pt idx="35">
                  <c:v>45387</c:v>
                </c:pt>
                <c:pt idx="36">
                  <c:v>45388</c:v>
                </c:pt>
                <c:pt idx="37">
                  <c:v>45389</c:v>
                </c:pt>
                <c:pt idx="38">
                  <c:v>45390</c:v>
                </c:pt>
                <c:pt idx="39">
                  <c:v>45391</c:v>
                </c:pt>
                <c:pt idx="40">
                  <c:v>45392</c:v>
                </c:pt>
                <c:pt idx="41">
                  <c:v>45393</c:v>
                </c:pt>
                <c:pt idx="42">
                  <c:v>45394</c:v>
                </c:pt>
                <c:pt idx="43">
                  <c:v>45395</c:v>
                </c:pt>
                <c:pt idx="44">
                  <c:v>45396</c:v>
                </c:pt>
                <c:pt idx="45">
                  <c:v>45397</c:v>
                </c:pt>
                <c:pt idx="46">
                  <c:v>45398</c:v>
                </c:pt>
                <c:pt idx="47">
                  <c:v>45399</c:v>
                </c:pt>
                <c:pt idx="48">
                  <c:v>45400</c:v>
                </c:pt>
                <c:pt idx="49">
                  <c:v>45401</c:v>
                </c:pt>
                <c:pt idx="50">
                  <c:v>45402</c:v>
                </c:pt>
                <c:pt idx="51">
                  <c:v>45403</c:v>
                </c:pt>
                <c:pt idx="52">
                  <c:v>45404</c:v>
                </c:pt>
                <c:pt idx="53">
                  <c:v>45405</c:v>
                </c:pt>
                <c:pt idx="54">
                  <c:v>45406</c:v>
                </c:pt>
                <c:pt idx="55">
                  <c:v>45407</c:v>
                </c:pt>
                <c:pt idx="56">
                  <c:v>45408</c:v>
                </c:pt>
                <c:pt idx="57">
                  <c:v>45409</c:v>
                </c:pt>
                <c:pt idx="58">
                  <c:v>45410</c:v>
                </c:pt>
                <c:pt idx="59">
                  <c:v>45411</c:v>
                </c:pt>
                <c:pt idx="60">
                  <c:v>45412</c:v>
                </c:pt>
                <c:pt idx="61">
                  <c:v>45413</c:v>
                </c:pt>
                <c:pt idx="62">
                  <c:v>45414</c:v>
                </c:pt>
                <c:pt idx="63">
                  <c:v>45415</c:v>
                </c:pt>
                <c:pt idx="64">
                  <c:v>45416</c:v>
                </c:pt>
                <c:pt idx="65">
                  <c:v>45417</c:v>
                </c:pt>
                <c:pt idx="66">
                  <c:v>45418</c:v>
                </c:pt>
                <c:pt idx="67">
                  <c:v>45419</c:v>
                </c:pt>
                <c:pt idx="68">
                  <c:v>45420</c:v>
                </c:pt>
                <c:pt idx="69">
                  <c:v>45421</c:v>
                </c:pt>
                <c:pt idx="70">
                  <c:v>45422</c:v>
                </c:pt>
                <c:pt idx="71">
                  <c:v>45423</c:v>
                </c:pt>
                <c:pt idx="72">
                  <c:v>45424</c:v>
                </c:pt>
                <c:pt idx="73">
                  <c:v>45425</c:v>
                </c:pt>
                <c:pt idx="74">
                  <c:v>45426</c:v>
                </c:pt>
                <c:pt idx="75">
                  <c:v>45427</c:v>
                </c:pt>
                <c:pt idx="76">
                  <c:v>45428</c:v>
                </c:pt>
                <c:pt idx="77">
                  <c:v>45429</c:v>
                </c:pt>
                <c:pt idx="78">
                  <c:v>45430</c:v>
                </c:pt>
                <c:pt idx="79">
                  <c:v>45431</c:v>
                </c:pt>
                <c:pt idx="80">
                  <c:v>45432</c:v>
                </c:pt>
                <c:pt idx="81">
                  <c:v>45433</c:v>
                </c:pt>
                <c:pt idx="82">
                  <c:v>45434</c:v>
                </c:pt>
                <c:pt idx="83">
                  <c:v>45435</c:v>
                </c:pt>
                <c:pt idx="84">
                  <c:v>45436</c:v>
                </c:pt>
                <c:pt idx="85">
                  <c:v>45437</c:v>
                </c:pt>
                <c:pt idx="86">
                  <c:v>45438</c:v>
                </c:pt>
                <c:pt idx="87">
                  <c:v>45439</c:v>
                </c:pt>
                <c:pt idx="88">
                  <c:v>45440</c:v>
                </c:pt>
                <c:pt idx="89">
                  <c:v>45441</c:v>
                </c:pt>
                <c:pt idx="90">
                  <c:v>45442</c:v>
                </c:pt>
                <c:pt idx="91">
                  <c:v>45443</c:v>
                </c:pt>
                <c:pt idx="92">
                  <c:v>45444</c:v>
                </c:pt>
                <c:pt idx="93">
                  <c:v>45445</c:v>
                </c:pt>
                <c:pt idx="94">
                  <c:v>45446</c:v>
                </c:pt>
                <c:pt idx="95">
                  <c:v>45447</c:v>
                </c:pt>
                <c:pt idx="96">
                  <c:v>45448</c:v>
                </c:pt>
                <c:pt idx="97">
                  <c:v>45449</c:v>
                </c:pt>
                <c:pt idx="98">
                  <c:v>45450</c:v>
                </c:pt>
                <c:pt idx="99">
                  <c:v>45451</c:v>
                </c:pt>
                <c:pt idx="100">
                  <c:v>45452</c:v>
                </c:pt>
                <c:pt idx="101">
                  <c:v>45453</c:v>
                </c:pt>
                <c:pt idx="102">
                  <c:v>45454</c:v>
                </c:pt>
                <c:pt idx="103">
                  <c:v>45455</c:v>
                </c:pt>
                <c:pt idx="104">
                  <c:v>45456</c:v>
                </c:pt>
                <c:pt idx="105">
                  <c:v>45457</c:v>
                </c:pt>
                <c:pt idx="106">
                  <c:v>45458</c:v>
                </c:pt>
                <c:pt idx="107">
                  <c:v>45459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45465</c:v>
                </c:pt>
                <c:pt idx="114">
                  <c:v>45466</c:v>
                </c:pt>
                <c:pt idx="115">
                  <c:v>45467</c:v>
                </c:pt>
                <c:pt idx="116">
                  <c:v>45468</c:v>
                </c:pt>
                <c:pt idx="117">
                  <c:v>45469</c:v>
                </c:pt>
                <c:pt idx="118">
                  <c:v>45470</c:v>
                </c:pt>
                <c:pt idx="119">
                  <c:v>45471</c:v>
                </c:pt>
                <c:pt idx="120">
                  <c:v>45472</c:v>
                </c:pt>
                <c:pt idx="121">
                  <c:v>45473</c:v>
                </c:pt>
                <c:pt idx="122">
                  <c:v>45474</c:v>
                </c:pt>
                <c:pt idx="123">
                  <c:v>45475</c:v>
                </c:pt>
                <c:pt idx="124">
                  <c:v>45476</c:v>
                </c:pt>
                <c:pt idx="125">
                  <c:v>45477</c:v>
                </c:pt>
                <c:pt idx="126">
                  <c:v>45478</c:v>
                </c:pt>
                <c:pt idx="127">
                  <c:v>45479</c:v>
                </c:pt>
                <c:pt idx="128">
                  <c:v>45480</c:v>
                </c:pt>
                <c:pt idx="129">
                  <c:v>45481</c:v>
                </c:pt>
                <c:pt idx="130">
                  <c:v>45482</c:v>
                </c:pt>
                <c:pt idx="131">
                  <c:v>45483</c:v>
                </c:pt>
                <c:pt idx="132">
                  <c:v>45484</c:v>
                </c:pt>
                <c:pt idx="133">
                  <c:v>45485</c:v>
                </c:pt>
                <c:pt idx="134">
                  <c:v>45486</c:v>
                </c:pt>
                <c:pt idx="135">
                  <c:v>45487</c:v>
                </c:pt>
                <c:pt idx="136">
                  <c:v>45488</c:v>
                </c:pt>
                <c:pt idx="137">
                  <c:v>45489</c:v>
                </c:pt>
                <c:pt idx="138">
                  <c:v>45490</c:v>
                </c:pt>
                <c:pt idx="139">
                  <c:v>45491</c:v>
                </c:pt>
                <c:pt idx="140">
                  <c:v>45492</c:v>
                </c:pt>
                <c:pt idx="141">
                  <c:v>45493</c:v>
                </c:pt>
                <c:pt idx="142">
                  <c:v>45494</c:v>
                </c:pt>
                <c:pt idx="143">
                  <c:v>45495</c:v>
                </c:pt>
                <c:pt idx="144">
                  <c:v>45496</c:v>
                </c:pt>
                <c:pt idx="145">
                  <c:v>45497</c:v>
                </c:pt>
                <c:pt idx="146">
                  <c:v>45498</c:v>
                </c:pt>
                <c:pt idx="147">
                  <c:v>45499</c:v>
                </c:pt>
                <c:pt idx="148">
                  <c:v>45500</c:v>
                </c:pt>
                <c:pt idx="149">
                  <c:v>45501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45507</c:v>
                </c:pt>
                <c:pt idx="156">
                  <c:v>45508</c:v>
                </c:pt>
                <c:pt idx="157">
                  <c:v>45509</c:v>
                </c:pt>
                <c:pt idx="158">
                  <c:v>45510</c:v>
                </c:pt>
                <c:pt idx="159">
                  <c:v>45511</c:v>
                </c:pt>
                <c:pt idx="160">
                  <c:v>45512</c:v>
                </c:pt>
                <c:pt idx="161">
                  <c:v>45513</c:v>
                </c:pt>
                <c:pt idx="162">
                  <c:v>45514</c:v>
                </c:pt>
                <c:pt idx="163">
                  <c:v>45515</c:v>
                </c:pt>
                <c:pt idx="164">
                  <c:v>45516</c:v>
                </c:pt>
                <c:pt idx="165">
                  <c:v>45517</c:v>
                </c:pt>
                <c:pt idx="166">
                  <c:v>45518</c:v>
                </c:pt>
                <c:pt idx="167">
                  <c:v>45519</c:v>
                </c:pt>
                <c:pt idx="168">
                  <c:v>45520</c:v>
                </c:pt>
                <c:pt idx="169">
                  <c:v>45521</c:v>
                </c:pt>
                <c:pt idx="170">
                  <c:v>45522</c:v>
                </c:pt>
                <c:pt idx="171">
                  <c:v>45523</c:v>
                </c:pt>
                <c:pt idx="172">
                  <c:v>45524</c:v>
                </c:pt>
                <c:pt idx="173">
                  <c:v>45525</c:v>
                </c:pt>
                <c:pt idx="174">
                  <c:v>45526</c:v>
                </c:pt>
                <c:pt idx="175">
                  <c:v>45527</c:v>
                </c:pt>
                <c:pt idx="176">
                  <c:v>45528</c:v>
                </c:pt>
                <c:pt idx="177">
                  <c:v>45529</c:v>
                </c:pt>
                <c:pt idx="178">
                  <c:v>45530</c:v>
                </c:pt>
                <c:pt idx="179">
                  <c:v>45531</c:v>
                </c:pt>
                <c:pt idx="180">
                  <c:v>45532</c:v>
                </c:pt>
                <c:pt idx="181">
                  <c:v>45533</c:v>
                </c:pt>
                <c:pt idx="182">
                  <c:v>45534</c:v>
                </c:pt>
                <c:pt idx="183">
                  <c:v>45535</c:v>
                </c:pt>
                <c:pt idx="184">
                  <c:v>45536</c:v>
                </c:pt>
                <c:pt idx="185">
                  <c:v>45537</c:v>
                </c:pt>
                <c:pt idx="186">
                  <c:v>45538</c:v>
                </c:pt>
                <c:pt idx="187">
                  <c:v>45539</c:v>
                </c:pt>
                <c:pt idx="188">
                  <c:v>45540</c:v>
                </c:pt>
                <c:pt idx="189">
                  <c:v>45541</c:v>
                </c:pt>
                <c:pt idx="190">
                  <c:v>45542</c:v>
                </c:pt>
                <c:pt idx="191">
                  <c:v>45543</c:v>
                </c:pt>
                <c:pt idx="192">
                  <c:v>45544</c:v>
                </c:pt>
                <c:pt idx="193">
                  <c:v>45545</c:v>
                </c:pt>
                <c:pt idx="194">
                  <c:v>45546</c:v>
                </c:pt>
                <c:pt idx="195">
                  <c:v>45547</c:v>
                </c:pt>
                <c:pt idx="196">
                  <c:v>45548</c:v>
                </c:pt>
                <c:pt idx="197">
                  <c:v>45549</c:v>
                </c:pt>
                <c:pt idx="198">
                  <c:v>45550</c:v>
                </c:pt>
                <c:pt idx="199">
                  <c:v>45551</c:v>
                </c:pt>
                <c:pt idx="200">
                  <c:v>45552</c:v>
                </c:pt>
                <c:pt idx="201">
                  <c:v>45553</c:v>
                </c:pt>
                <c:pt idx="202">
                  <c:v>45554</c:v>
                </c:pt>
                <c:pt idx="203">
                  <c:v>45555</c:v>
                </c:pt>
                <c:pt idx="204">
                  <c:v>45556</c:v>
                </c:pt>
                <c:pt idx="205">
                  <c:v>45557</c:v>
                </c:pt>
                <c:pt idx="206">
                  <c:v>45558</c:v>
                </c:pt>
                <c:pt idx="207">
                  <c:v>45559</c:v>
                </c:pt>
                <c:pt idx="208">
                  <c:v>45560</c:v>
                </c:pt>
                <c:pt idx="209">
                  <c:v>45561</c:v>
                </c:pt>
                <c:pt idx="210">
                  <c:v>45562</c:v>
                </c:pt>
                <c:pt idx="211">
                  <c:v>45563</c:v>
                </c:pt>
                <c:pt idx="212">
                  <c:v>45564</c:v>
                </c:pt>
                <c:pt idx="213">
                  <c:v>45565</c:v>
                </c:pt>
                <c:pt idx="214">
                  <c:v>45566</c:v>
                </c:pt>
                <c:pt idx="215">
                  <c:v>45567</c:v>
                </c:pt>
                <c:pt idx="216">
                  <c:v>45568</c:v>
                </c:pt>
                <c:pt idx="217">
                  <c:v>45569</c:v>
                </c:pt>
                <c:pt idx="218">
                  <c:v>45570</c:v>
                </c:pt>
                <c:pt idx="219">
                  <c:v>45571</c:v>
                </c:pt>
                <c:pt idx="220">
                  <c:v>45572</c:v>
                </c:pt>
                <c:pt idx="221">
                  <c:v>45573</c:v>
                </c:pt>
                <c:pt idx="222">
                  <c:v>45574</c:v>
                </c:pt>
                <c:pt idx="223">
                  <c:v>45575</c:v>
                </c:pt>
                <c:pt idx="224">
                  <c:v>45576</c:v>
                </c:pt>
                <c:pt idx="225">
                  <c:v>45577</c:v>
                </c:pt>
                <c:pt idx="226">
                  <c:v>45578</c:v>
                </c:pt>
                <c:pt idx="227">
                  <c:v>45579</c:v>
                </c:pt>
                <c:pt idx="228">
                  <c:v>45580</c:v>
                </c:pt>
                <c:pt idx="229">
                  <c:v>45581</c:v>
                </c:pt>
                <c:pt idx="230">
                  <c:v>45582</c:v>
                </c:pt>
                <c:pt idx="231">
                  <c:v>45583</c:v>
                </c:pt>
                <c:pt idx="232">
                  <c:v>45584</c:v>
                </c:pt>
                <c:pt idx="233">
                  <c:v>45585</c:v>
                </c:pt>
                <c:pt idx="234">
                  <c:v>45586</c:v>
                </c:pt>
                <c:pt idx="235">
                  <c:v>45587</c:v>
                </c:pt>
                <c:pt idx="236">
                  <c:v>45588</c:v>
                </c:pt>
                <c:pt idx="237">
                  <c:v>45589</c:v>
                </c:pt>
                <c:pt idx="238">
                  <c:v>45590</c:v>
                </c:pt>
                <c:pt idx="239">
                  <c:v>45591</c:v>
                </c:pt>
                <c:pt idx="240">
                  <c:v>45592</c:v>
                </c:pt>
                <c:pt idx="241">
                  <c:v>45593</c:v>
                </c:pt>
                <c:pt idx="242">
                  <c:v>45594</c:v>
                </c:pt>
                <c:pt idx="243">
                  <c:v>45595</c:v>
                </c:pt>
                <c:pt idx="244">
                  <c:v>45596</c:v>
                </c:pt>
                <c:pt idx="245">
                  <c:v>45597</c:v>
                </c:pt>
                <c:pt idx="246">
                  <c:v>45598</c:v>
                </c:pt>
                <c:pt idx="247">
                  <c:v>45599</c:v>
                </c:pt>
                <c:pt idx="248">
                  <c:v>45600</c:v>
                </c:pt>
                <c:pt idx="249">
                  <c:v>45601</c:v>
                </c:pt>
                <c:pt idx="250">
                  <c:v>45602</c:v>
                </c:pt>
                <c:pt idx="251">
                  <c:v>45603</c:v>
                </c:pt>
                <c:pt idx="252">
                  <c:v>45604</c:v>
                </c:pt>
                <c:pt idx="253">
                  <c:v>45605</c:v>
                </c:pt>
                <c:pt idx="254">
                  <c:v>45606</c:v>
                </c:pt>
                <c:pt idx="255">
                  <c:v>45607</c:v>
                </c:pt>
                <c:pt idx="256">
                  <c:v>45608</c:v>
                </c:pt>
                <c:pt idx="257">
                  <c:v>45609</c:v>
                </c:pt>
                <c:pt idx="258">
                  <c:v>45610</c:v>
                </c:pt>
                <c:pt idx="259">
                  <c:v>45611</c:v>
                </c:pt>
                <c:pt idx="260">
                  <c:v>45612</c:v>
                </c:pt>
                <c:pt idx="261">
                  <c:v>45613</c:v>
                </c:pt>
                <c:pt idx="262">
                  <c:v>45614</c:v>
                </c:pt>
                <c:pt idx="263">
                  <c:v>45615</c:v>
                </c:pt>
                <c:pt idx="264">
                  <c:v>45616</c:v>
                </c:pt>
                <c:pt idx="265">
                  <c:v>45617</c:v>
                </c:pt>
                <c:pt idx="266">
                  <c:v>45618</c:v>
                </c:pt>
                <c:pt idx="267">
                  <c:v>45619</c:v>
                </c:pt>
                <c:pt idx="268">
                  <c:v>45620</c:v>
                </c:pt>
                <c:pt idx="269">
                  <c:v>45621</c:v>
                </c:pt>
                <c:pt idx="270">
                  <c:v>45622</c:v>
                </c:pt>
                <c:pt idx="271">
                  <c:v>45623</c:v>
                </c:pt>
                <c:pt idx="272">
                  <c:v>45624</c:v>
                </c:pt>
                <c:pt idx="273">
                  <c:v>45625</c:v>
                </c:pt>
                <c:pt idx="274">
                  <c:v>45626</c:v>
                </c:pt>
                <c:pt idx="275">
                  <c:v>45627</c:v>
                </c:pt>
                <c:pt idx="276">
                  <c:v>45628</c:v>
                </c:pt>
                <c:pt idx="277">
                  <c:v>45629</c:v>
                </c:pt>
              </c:numCache>
            </c:numRef>
          </c:cat>
          <c:val>
            <c:numRef>
              <c:f>'Forecast '!$C$2:$C$279</c:f>
              <c:numCache>
                <c:formatCode>General</c:formatCode>
                <c:ptCount val="278"/>
                <c:pt idx="138" formatCode="0.0">
                  <c:v>27.92</c:v>
                </c:pt>
                <c:pt idx="139" formatCode="0.0">
                  <c:v>30.396550097473821</c:v>
                </c:pt>
                <c:pt idx="140" formatCode="0.0">
                  <c:v>30.357816153683309</c:v>
                </c:pt>
                <c:pt idx="141" formatCode="0.0">
                  <c:v>30.319082209892784</c:v>
                </c:pt>
                <c:pt idx="142" formatCode="0.0">
                  <c:v>30.280348266102269</c:v>
                </c:pt>
                <c:pt idx="143" formatCode="0.0">
                  <c:v>30.241614322311744</c:v>
                </c:pt>
                <c:pt idx="144" formatCode="0.0">
                  <c:v>30.202880378521233</c:v>
                </c:pt>
                <c:pt idx="145" formatCode="0.0">
                  <c:v>30.164146434730707</c:v>
                </c:pt>
                <c:pt idx="146" formatCode="0.0">
                  <c:v>30.125412490940196</c:v>
                </c:pt>
                <c:pt idx="147" formatCode="0.0">
                  <c:v>30.08667854714967</c:v>
                </c:pt>
                <c:pt idx="148" formatCode="0.0">
                  <c:v>30.047944603359159</c:v>
                </c:pt>
                <c:pt idx="149" formatCode="0.0">
                  <c:v>30.009210659568634</c:v>
                </c:pt>
                <c:pt idx="150" formatCode="0.0">
                  <c:v>29.970476715778123</c:v>
                </c:pt>
                <c:pt idx="151" formatCode="0.0">
                  <c:v>29.931742771987594</c:v>
                </c:pt>
                <c:pt idx="152" formatCode="0.0">
                  <c:v>29.893008828197082</c:v>
                </c:pt>
                <c:pt idx="153" formatCode="0.0">
                  <c:v>29.854274884406557</c:v>
                </c:pt>
                <c:pt idx="154" formatCode="0.0">
                  <c:v>29.815540940616046</c:v>
                </c:pt>
                <c:pt idx="155" formatCode="0.0">
                  <c:v>29.77680699682552</c:v>
                </c:pt>
                <c:pt idx="156" formatCode="0.0">
                  <c:v>29.738073053035009</c:v>
                </c:pt>
                <c:pt idx="157" formatCode="0.0">
                  <c:v>29.699339109244484</c:v>
                </c:pt>
                <c:pt idx="158" formatCode="0.0">
                  <c:v>29.660605165453969</c:v>
                </c:pt>
                <c:pt idx="159" formatCode="0.0">
                  <c:v>29.621871221663444</c:v>
                </c:pt>
                <c:pt idx="160" formatCode="0.0">
                  <c:v>29.583137277872932</c:v>
                </c:pt>
                <c:pt idx="161" formatCode="0.0">
                  <c:v>29.544403334082407</c:v>
                </c:pt>
                <c:pt idx="162" formatCode="0.0">
                  <c:v>29.505669390291896</c:v>
                </c:pt>
                <c:pt idx="163" formatCode="0.0">
                  <c:v>29.46693544650137</c:v>
                </c:pt>
                <c:pt idx="164" formatCode="0.0">
                  <c:v>29.428201502710859</c:v>
                </c:pt>
                <c:pt idx="165" formatCode="0.0">
                  <c:v>29.389467558920334</c:v>
                </c:pt>
                <c:pt idx="166" formatCode="0.0">
                  <c:v>29.350733615129823</c:v>
                </c:pt>
                <c:pt idx="167" formatCode="0.0">
                  <c:v>29.311999671339294</c:v>
                </c:pt>
                <c:pt idx="168" formatCode="0.0">
                  <c:v>29.273265727548782</c:v>
                </c:pt>
                <c:pt idx="169" formatCode="0.0">
                  <c:v>29.234531783758257</c:v>
                </c:pt>
                <c:pt idx="170" formatCode="0.0">
                  <c:v>29.195797839967746</c:v>
                </c:pt>
                <c:pt idx="171" formatCode="0.0">
                  <c:v>29.15706389617722</c:v>
                </c:pt>
                <c:pt idx="172" formatCode="0.0">
                  <c:v>29.118329952386709</c:v>
                </c:pt>
                <c:pt idx="173" formatCode="0.0">
                  <c:v>29.079596008596184</c:v>
                </c:pt>
                <c:pt idx="174" formatCode="0.0">
                  <c:v>29.040862064805669</c:v>
                </c:pt>
                <c:pt idx="175" formatCode="0.0">
                  <c:v>29.002128121015144</c:v>
                </c:pt>
                <c:pt idx="176" formatCode="0.0">
                  <c:v>28.963394177224632</c:v>
                </c:pt>
                <c:pt idx="177" formatCode="0.0">
                  <c:v>28.924660233434107</c:v>
                </c:pt>
                <c:pt idx="178" formatCode="0.0">
                  <c:v>28.885926289643596</c:v>
                </c:pt>
                <c:pt idx="179" formatCode="0.0">
                  <c:v>28.84719234585307</c:v>
                </c:pt>
                <c:pt idx="180" formatCode="0.0">
                  <c:v>28.808458402062559</c:v>
                </c:pt>
                <c:pt idx="181" formatCode="0.0">
                  <c:v>28.769724458272034</c:v>
                </c:pt>
                <c:pt idx="182" formatCode="0.0">
                  <c:v>28.730990514481523</c:v>
                </c:pt>
                <c:pt idx="183" formatCode="0.0">
                  <c:v>28.692256570690994</c:v>
                </c:pt>
                <c:pt idx="184" formatCode="0.0">
                  <c:v>28.653522626900482</c:v>
                </c:pt>
                <c:pt idx="185" formatCode="0.0">
                  <c:v>28.614788683109957</c:v>
                </c:pt>
                <c:pt idx="186" formatCode="0.0">
                  <c:v>28.576054739319446</c:v>
                </c:pt>
                <c:pt idx="187" formatCode="0.0">
                  <c:v>28.53732079552892</c:v>
                </c:pt>
                <c:pt idx="188" formatCode="0.0">
                  <c:v>28.498586851738409</c:v>
                </c:pt>
                <c:pt idx="189" formatCode="0.0">
                  <c:v>28.459852907947884</c:v>
                </c:pt>
                <c:pt idx="190" formatCode="0.0">
                  <c:v>28.421118964157369</c:v>
                </c:pt>
                <c:pt idx="191" formatCode="0.0">
                  <c:v>28.382385020366844</c:v>
                </c:pt>
                <c:pt idx="192" formatCode="0.0">
                  <c:v>28.343651076576332</c:v>
                </c:pt>
                <c:pt idx="193" formatCode="0.0">
                  <c:v>28.304917132785807</c:v>
                </c:pt>
                <c:pt idx="194" formatCode="0.0">
                  <c:v>28.266183188995296</c:v>
                </c:pt>
                <c:pt idx="195" formatCode="0.0">
                  <c:v>28.22744924520477</c:v>
                </c:pt>
                <c:pt idx="196" formatCode="0.0">
                  <c:v>28.188715301414259</c:v>
                </c:pt>
                <c:pt idx="197" formatCode="0.0">
                  <c:v>28.149981357623734</c:v>
                </c:pt>
                <c:pt idx="198" formatCode="0.0">
                  <c:v>28.111247413833222</c:v>
                </c:pt>
                <c:pt idx="199" formatCode="0.0">
                  <c:v>28.072513470042693</c:v>
                </c:pt>
                <c:pt idx="200" formatCode="0.0">
                  <c:v>28.033779526252182</c:v>
                </c:pt>
                <c:pt idx="201" formatCode="0.0">
                  <c:v>27.995045582461657</c:v>
                </c:pt>
                <c:pt idx="202" formatCode="0.0">
                  <c:v>27.956311638671146</c:v>
                </c:pt>
                <c:pt idx="203" formatCode="0.0">
                  <c:v>27.91757769488062</c:v>
                </c:pt>
                <c:pt idx="204" formatCode="0.0">
                  <c:v>27.878843751090109</c:v>
                </c:pt>
                <c:pt idx="205" formatCode="0.0">
                  <c:v>27.840109807299584</c:v>
                </c:pt>
                <c:pt idx="206" formatCode="0.0">
                  <c:v>27.801375863509069</c:v>
                </c:pt>
                <c:pt idx="207" formatCode="0.0">
                  <c:v>27.762641919718543</c:v>
                </c:pt>
                <c:pt idx="208" formatCode="0.0">
                  <c:v>27.723907975928032</c:v>
                </c:pt>
                <c:pt idx="209" formatCode="0.0">
                  <c:v>27.685174032137507</c:v>
                </c:pt>
                <c:pt idx="210" formatCode="0.0">
                  <c:v>27.646440088346996</c:v>
                </c:pt>
                <c:pt idx="211" formatCode="0.0">
                  <c:v>27.60770614455647</c:v>
                </c:pt>
                <c:pt idx="212" formatCode="0.0">
                  <c:v>27.568972200765959</c:v>
                </c:pt>
                <c:pt idx="213" formatCode="0.0">
                  <c:v>27.530238256975434</c:v>
                </c:pt>
                <c:pt idx="214" formatCode="0.0">
                  <c:v>27.491504313184922</c:v>
                </c:pt>
                <c:pt idx="215" formatCode="0.0">
                  <c:v>27.452770369394393</c:v>
                </c:pt>
                <c:pt idx="216" formatCode="0.0">
                  <c:v>27.414036425603882</c:v>
                </c:pt>
                <c:pt idx="217" formatCode="0.0">
                  <c:v>27.375302481813357</c:v>
                </c:pt>
                <c:pt idx="218" formatCode="0.0">
                  <c:v>27.336568538022846</c:v>
                </c:pt>
                <c:pt idx="219" formatCode="0.0">
                  <c:v>27.29783459423232</c:v>
                </c:pt>
                <c:pt idx="220" formatCode="0.0">
                  <c:v>27.259100650441809</c:v>
                </c:pt>
                <c:pt idx="221" formatCode="0.0">
                  <c:v>27.220366706651284</c:v>
                </c:pt>
                <c:pt idx="222" formatCode="0.0">
                  <c:v>27.181632762860769</c:v>
                </c:pt>
                <c:pt idx="223" formatCode="0.0">
                  <c:v>27.142898819070243</c:v>
                </c:pt>
                <c:pt idx="224" formatCode="0.0">
                  <c:v>27.104164875279732</c:v>
                </c:pt>
                <c:pt idx="225" formatCode="0.0">
                  <c:v>27.065430931489207</c:v>
                </c:pt>
                <c:pt idx="226" formatCode="0.0">
                  <c:v>27.026696987698696</c:v>
                </c:pt>
                <c:pt idx="227" formatCode="0.0">
                  <c:v>26.98796304390817</c:v>
                </c:pt>
                <c:pt idx="228" formatCode="0.0">
                  <c:v>26.949229100117659</c:v>
                </c:pt>
                <c:pt idx="229" formatCode="0.0">
                  <c:v>26.910495156327134</c:v>
                </c:pt>
                <c:pt idx="230" formatCode="0.0">
                  <c:v>26.871761212536622</c:v>
                </c:pt>
                <c:pt idx="231" formatCode="0.0">
                  <c:v>26.833027268746093</c:v>
                </c:pt>
                <c:pt idx="232" formatCode="0.0">
                  <c:v>26.794293324955582</c:v>
                </c:pt>
                <c:pt idx="233" formatCode="0.0">
                  <c:v>26.755559381165057</c:v>
                </c:pt>
                <c:pt idx="234" formatCode="0.0">
                  <c:v>26.716825437374546</c:v>
                </c:pt>
                <c:pt idx="235" formatCode="0.0">
                  <c:v>26.67809149358402</c:v>
                </c:pt>
                <c:pt idx="236" formatCode="0.0">
                  <c:v>26.639357549793509</c:v>
                </c:pt>
                <c:pt idx="237" formatCode="0.0">
                  <c:v>26.600623606002983</c:v>
                </c:pt>
                <c:pt idx="238" formatCode="0.0">
                  <c:v>26.561889662212469</c:v>
                </c:pt>
                <c:pt idx="239" formatCode="0.0">
                  <c:v>26.523155718421943</c:v>
                </c:pt>
                <c:pt idx="240" formatCode="0.0">
                  <c:v>26.484421774631432</c:v>
                </c:pt>
                <c:pt idx="241" formatCode="0.0">
                  <c:v>26.445687830840907</c:v>
                </c:pt>
                <c:pt idx="242" formatCode="0.0">
                  <c:v>26.406953887050395</c:v>
                </c:pt>
                <c:pt idx="243" formatCode="0.0">
                  <c:v>26.36821994325987</c:v>
                </c:pt>
                <c:pt idx="244" formatCode="0.0">
                  <c:v>26.329485999469359</c:v>
                </c:pt>
                <c:pt idx="245" formatCode="0.0">
                  <c:v>26.290752055678833</c:v>
                </c:pt>
                <c:pt idx="246" formatCode="0.0">
                  <c:v>26.252018111888322</c:v>
                </c:pt>
                <c:pt idx="247" formatCode="0.0">
                  <c:v>26.213284168097797</c:v>
                </c:pt>
                <c:pt idx="248" formatCode="0.0">
                  <c:v>26.174550224307282</c:v>
                </c:pt>
                <c:pt idx="249" formatCode="0.0">
                  <c:v>26.135816280516757</c:v>
                </c:pt>
                <c:pt idx="250" formatCode="0.0">
                  <c:v>26.097082336726245</c:v>
                </c:pt>
                <c:pt idx="251" formatCode="0.0">
                  <c:v>26.05834839293572</c:v>
                </c:pt>
                <c:pt idx="252" formatCode="0.0">
                  <c:v>26.019614449145209</c:v>
                </c:pt>
                <c:pt idx="253" formatCode="0.0">
                  <c:v>25.98088050535468</c:v>
                </c:pt>
                <c:pt idx="254" formatCode="0.0">
                  <c:v>25.942146561564169</c:v>
                </c:pt>
                <c:pt idx="255" formatCode="0.0">
                  <c:v>25.903412617773643</c:v>
                </c:pt>
                <c:pt idx="256" formatCode="0.0">
                  <c:v>25.864678673983132</c:v>
                </c:pt>
                <c:pt idx="257" formatCode="0.0">
                  <c:v>25.825944730192607</c:v>
                </c:pt>
                <c:pt idx="258" formatCode="0.0">
                  <c:v>25.787210786402095</c:v>
                </c:pt>
                <c:pt idx="259" formatCode="0.0">
                  <c:v>25.74847684261157</c:v>
                </c:pt>
                <c:pt idx="260" formatCode="0.0">
                  <c:v>25.709742898821059</c:v>
                </c:pt>
                <c:pt idx="261" formatCode="0.0">
                  <c:v>25.671008955030533</c:v>
                </c:pt>
                <c:pt idx="262" formatCode="0.0">
                  <c:v>25.632275011240022</c:v>
                </c:pt>
                <c:pt idx="263" formatCode="0.0">
                  <c:v>25.593541067449497</c:v>
                </c:pt>
                <c:pt idx="264" formatCode="0.0">
                  <c:v>25.554807123658982</c:v>
                </c:pt>
                <c:pt idx="265" formatCode="0.0">
                  <c:v>25.516073179868457</c:v>
                </c:pt>
                <c:pt idx="266" formatCode="0.0">
                  <c:v>25.477339236077945</c:v>
                </c:pt>
                <c:pt idx="267" formatCode="0.0">
                  <c:v>25.43860529228742</c:v>
                </c:pt>
                <c:pt idx="268" formatCode="0.0">
                  <c:v>25.399871348496909</c:v>
                </c:pt>
                <c:pt idx="269" formatCode="0.0">
                  <c:v>25.36113740470638</c:v>
                </c:pt>
                <c:pt idx="270" formatCode="0.0">
                  <c:v>25.322403460915869</c:v>
                </c:pt>
                <c:pt idx="271" formatCode="0.0">
                  <c:v>25.283669517125343</c:v>
                </c:pt>
                <c:pt idx="272" formatCode="0.0">
                  <c:v>25.244935573334832</c:v>
                </c:pt>
                <c:pt idx="273" formatCode="0.0">
                  <c:v>25.206201629544307</c:v>
                </c:pt>
                <c:pt idx="274" formatCode="0.0">
                  <c:v>25.167467685753795</c:v>
                </c:pt>
                <c:pt idx="275" formatCode="0.0">
                  <c:v>25.12873374196327</c:v>
                </c:pt>
                <c:pt idx="276" formatCode="0.0">
                  <c:v>25.089999798172759</c:v>
                </c:pt>
                <c:pt idx="277" formatCode="0.0">
                  <c:v>25.051265854382233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FD-4A8C-B9FF-B5D9AC72107A}"/>
            </c:ext>
          </c:extLst>
        </c:ser>
        <c:ser>
          <c:idx val="2"/>
          <c:order val="2"/>
          <c:tx>
            <c:strRef>
              <c:f>'Forecast '!$D$1</c:f>
              <c:strCache>
                <c:ptCount val="1"/>
                <c:pt idx="0">
                  <c:v>Lower Confidence Bound(Sales)</c:v>
                </c:pt>
              </c:strCache>
            </c:strRef>
          </c:tx>
          <c:spPr>
            <a:ln w="12700" cap="rnd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'Forecast '!$A$2:$A$279</c:f>
              <c:numCache>
                <c:formatCode>m/d/yyyy</c:formatCode>
                <c:ptCount val="278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  <c:pt idx="30">
                  <c:v>45382</c:v>
                </c:pt>
                <c:pt idx="31">
                  <c:v>45383</c:v>
                </c:pt>
                <c:pt idx="32">
                  <c:v>45384</c:v>
                </c:pt>
                <c:pt idx="33">
                  <c:v>45385</c:v>
                </c:pt>
                <c:pt idx="34">
                  <c:v>45386</c:v>
                </c:pt>
                <c:pt idx="35">
                  <c:v>45387</c:v>
                </c:pt>
                <c:pt idx="36">
                  <c:v>45388</c:v>
                </c:pt>
                <c:pt idx="37">
                  <c:v>45389</c:v>
                </c:pt>
                <c:pt idx="38">
                  <c:v>45390</c:v>
                </c:pt>
                <c:pt idx="39">
                  <c:v>45391</c:v>
                </c:pt>
                <c:pt idx="40">
                  <c:v>45392</c:v>
                </c:pt>
                <c:pt idx="41">
                  <c:v>45393</c:v>
                </c:pt>
                <c:pt idx="42">
                  <c:v>45394</c:v>
                </c:pt>
                <c:pt idx="43">
                  <c:v>45395</c:v>
                </c:pt>
                <c:pt idx="44">
                  <c:v>45396</c:v>
                </c:pt>
                <c:pt idx="45">
                  <c:v>45397</c:v>
                </c:pt>
                <c:pt idx="46">
                  <c:v>45398</c:v>
                </c:pt>
                <c:pt idx="47">
                  <c:v>45399</c:v>
                </c:pt>
                <c:pt idx="48">
                  <c:v>45400</c:v>
                </c:pt>
                <c:pt idx="49">
                  <c:v>45401</c:v>
                </c:pt>
                <c:pt idx="50">
                  <c:v>45402</c:v>
                </c:pt>
                <c:pt idx="51">
                  <c:v>45403</c:v>
                </c:pt>
                <c:pt idx="52">
                  <c:v>45404</c:v>
                </c:pt>
                <c:pt idx="53">
                  <c:v>45405</c:v>
                </c:pt>
                <c:pt idx="54">
                  <c:v>45406</c:v>
                </c:pt>
                <c:pt idx="55">
                  <c:v>45407</c:v>
                </c:pt>
                <c:pt idx="56">
                  <c:v>45408</c:v>
                </c:pt>
                <c:pt idx="57">
                  <c:v>45409</c:v>
                </c:pt>
                <c:pt idx="58">
                  <c:v>45410</c:v>
                </c:pt>
                <c:pt idx="59">
                  <c:v>45411</c:v>
                </c:pt>
                <c:pt idx="60">
                  <c:v>45412</c:v>
                </c:pt>
                <c:pt idx="61">
                  <c:v>45413</c:v>
                </c:pt>
                <c:pt idx="62">
                  <c:v>45414</c:v>
                </c:pt>
                <c:pt idx="63">
                  <c:v>45415</c:v>
                </c:pt>
                <c:pt idx="64">
                  <c:v>45416</c:v>
                </c:pt>
                <c:pt idx="65">
                  <c:v>45417</c:v>
                </c:pt>
                <c:pt idx="66">
                  <c:v>45418</c:v>
                </c:pt>
                <c:pt idx="67">
                  <c:v>45419</c:v>
                </c:pt>
                <c:pt idx="68">
                  <c:v>45420</c:v>
                </c:pt>
                <c:pt idx="69">
                  <c:v>45421</c:v>
                </c:pt>
                <c:pt idx="70">
                  <c:v>45422</c:v>
                </c:pt>
                <c:pt idx="71">
                  <c:v>45423</c:v>
                </c:pt>
                <c:pt idx="72">
                  <c:v>45424</c:v>
                </c:pt>
                <c:pt idx="73">
                  <c:v>45425</c:v>
                </c:pt>
                <c:pt idx="74">
                  <c:v>45426</c:v>
                </c:pt>
                <c:pt idx="75">
                  <c:v>45427</c:v>
                </c:pt>
                <c:pt idx="76">
                  <c:v>45428</c:v>
                </c:pt>
                <c:pt idx="77">
                  <c:v>45429</c:v>
                </c:pt>
                <c:pt idx="78">
                  <c:v>45430</c:v>
                </c:pt>
                <c:pt idx="79">
                  <c:v>45431</c:v>
                </c:pt>
                <c:pt idx="80">
                  <c:v>45432</c:v>
                </c:pt>
                <c:pt idx="81">
                  <c:v>45433</c:v>
                </c:pt>
                <c:pt idx="82">
                  <c:v>45434</c:v>
                </c:pt>
                <c:pt idx="83">
                  <c:v>45435</c:v>
                </c:pt>
                <c:pt idx="84">
                  <c:v>45436</c:v>
                </c:pt>
                <c:pt idx="85">
                  <c:v>45437</c:v>
                </c:pt>
                <c:pt idx="86">
                  <c:v>45438</c:v>
                </c:pt>
                <c:pt idx="87">
                  <c:v>45439</c:v>
                </c:pt>
                <c:pt idx="88">
                  <c:v>45440</c:v>
                </c:pt>
                <c:pt idx="89">
                  <c:v>45441</c:v>
                </c:pt>
                <c:pt idx="90">
                  <c:v>45442</c:v>
                </c:pt>
                <c:pt idx="91">
                  <c:v>45443</c:v>
                </c:pt>
                <c:pt idx="92">
                  <c:v>45444</c:v>
                </c:pt>
                <c:pt idx="93">
                  <c:v>45445</c:v>
                </c:pt>
                <c:pt idx="94">
                  <c:v>45446</c:v>
                </c:pt>
                <c:pt idx="95">
                  <c:v>45447</c:v>
                </c:pt>
                <c:pt idx="96">
                  <c:v>45448</c:v>
                </c:pt>
                <c:pt idx="97">
                  <c:v>45449</c:v>
                </c:pt>
                <c:pt idx="98">
                  <c:v>45450</c:v>
                </c:pt>
                <c:pt idx="99">
                  <c:v>45451</c:v>
                </c:pt>
                <c:pt idx="100">
                  <c:v>45452</c:v>
                </c:pt>
                <c:pt idx="101">
                  <c:v>45453</c:v>
                </c:pt>
                <c:pt idx="102">
                  <c:v>45454</c:v>
                </c:pt>
                <c:pt idx="103">
                  <c:v>45455</c:v>
                </c:pt>
                <c:pt idx="104">
                  <c:v>45456</c:v>
                </c:pt>
                <c:pt idx="105">
                  <c:v>45457</c:v>
                </c:pt>
                <c:pt idx="106">
                  <c:v>45458</c:v>
                </c:pt>
                <c:pt idx="107">
                  <c:v>45459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45465</c:v>
                </c:pt>
                <c:pt idx="114">
                  <c:v>45466</c:v>
                </c:pt>
                <c:pt idx="115">
                  <c:v>45467</c:v>
                </c:pt>
                <c:pt idx="116">
                  <c:v>45468</c:v>
                </c:pt>
                <c:pt idx="117">
                  <c:v>45469</c:v>
                </c:pt>
                <c:pt idx="118">
                  <c:v>45470</c:v>
                </c:pt>
                <c:pt idx="119">
                  <c:v>45471</c:v>
                </c:pt>
                <c:pt idx="120">
                  <c:v>45472</c:v>
                </c:pt>
                <c:pt idx="121">
                  <c:v>45473</c:v>
                </c:pt>
                <c:pt idx="122">
                  <c:v>45474</c:v>
                </c:pt>
                <c:pt idx="123">
                  <c:v>45475</c:v>
                </c:pt>
                <c:pt idx="124">
                  <c:v>45476</c:v>
                </c:pt>
                <c:pt idx="125">
                  <c:v>45477</c:v>
                </c:pt>
                <c:pt idx="126">
                  <c:v>45478</c:v>
                </c:pt>
                <c:pt idx="127">
                  <c:v>45479</c:v>
                </c:pt>
                <c:pt idx="128">
                  <c:v>45480</c:v>
                </c:pt>
                <c:pt idx="129">
                  <c:v>45481</c:v>
                </c:pt>
                <c:pt idx="130">
                  <c:v>45482</c:v>
                </c:pt>
                <c:pt idx="131">
                  <c:v>45483</c:v>
                </c:pt>
                <c:pt idx="132">
                  <c:v>45484</c:v>
                </c:pt>
                <c:pt idx="133">
                  <c:v>45485</c:v>
                </c:pt>
                <c:pt idx="134">
                  <c:v>45486</c:v>
                </c:pt>
                <c:pt idx="135">
                  <c:v>45487</c:v>
                </c:pt>
                <c:pt idx="136">
                  <c:v>45488</c:v>
                </c:pt>
                <c:pt idx="137">
                  <c:v>45489</c:v>
                </c:pt>
                <c:pt idx="138">
                  <c:v>45490</c:v>
                </c:pt>
                <c:pt idx="139">
                  <c:v>45491</c:v>
                </c:pt>
                <c:pt idx="140">
                  <c:v>45492</c:v>
                </c:pt>
                <c:pt idx="141">
                  <c:v>45493</c:v>
                </c:pt>
                <c:pt idx="142">
                  <c:v>45494</c:v>
                </c:pt>
                <c:pt idx="143">
                  <c:v>45495</c:v>
                </c:pt>
                <c:pt idx="144">
                  <c:v>45496</c:v>
                </c:pt>
                <c:pt idx="145">
                  <c:v>45497</c:v>
                </c:pt>
                <c:pt idx="146">
                  <c:v>45498</c:v>
                </c:pt>
                <c:pt idx="147">
                  <c:v>45499</c:v>
                </c:pt>
                <c:pt idx="148">
                  <c:v>45500</c:v>
                </c:pt>
                <c:pt idx="149">
                  <c:v>45501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45507</c:v>
                </c:pt>
                <c:pt idx="156">
                  <c:v>45508</c:v>
                </c:pt>
                <c:pt idx="157">
                  <c:v>45509</c:v>
                </c:pt>
                <c:pt idx="158">
                  <c:v>45510</c:v>
                </c:pt>
                <c:pt idx="159">
                  <c:v>45511</c:v>
                </c:pt>
                <c:pt idx="160">
                  <c:v>45512</c:v>
                </c:pt>
                <c:pt idx="161">
                  <c:v>45513</c:v>
                </c:pt>
                <c:pt idx="162">
                  <c:v>45514</c:v>
                </c:pt>
                <c:pt idx="163">
                  <c:v>45515</c:v>
                </c:pt>
                <c:pt idx="164">
                  <c:v>45516</c:v>
                </c:pt>
                <c:pt idx="165">
                  <c:v>45517</c:v>
                </c:pt>
                <c:pt idx="166">
                  <c:v>45518</c:v>
                </c:pt>
                <c:pt idx="167">
                  <c:v>45519</c:v>
                </c:pt>
                <c:pt idx="168">
                  <c:v>45520</c:v>
                </c:pt>
                <c:pt idx="169">
                  <c:v>45521</c:v>
                </c:pt>
                <c:pt idx="170">
                  <c:v>45522</c:v>
                </c:pt>
                <c:pt idx="171">
                  <c:v>45523</c:v>
                </c:pt>
                <c:pt idx="172">
                  <c:v>45524</c:v>
                </c:pt>
                <c:pt idx="173">
                  <c:v>45525</c:v>
                </c:pt>
                <c:pt idx="174">
                  <c:v>45526</c:v>
                </c:pt>
                <c:pt idx="175">
                  <c:v>45527</c:v>
                </c:pt>
                <c:pt idx="176">
                  <c:v>45528</c:v>
                </c:pt>
                <c:pt idx="177">
                  <c:v>45529</c:v>
                </c:pt>
                <c:pt idx="178">
                  <c:v>45530</c:v>
                </c:pt>
                <c:pt idx="179">
                  <c:v>45531</c:v>
                </c:pt>
                <c:pt idx="180">
                  <c:v>45532</c:v>
                </c:pt>
                <c:pt idx="181">
                  <c:v>45533</c:v>
                </c:pt>
                <c:pt idx="182">
                  <c:v>45534</c:v>
                </c:pt>
                <c:pt idx="183">
                  <c:v>45535</c:v>
                </c:pt>
                <c:pt idx="184">
                  <c:v>45536</c:v>
                </c:pt>
                <c:pt idx="185">
                  <c:v>45537</c:v>
                </c:pt>
                <c:pt idx="186">
                  <c:v>45538</c:v>
                </c:pt>
                <c:pt idx="187">
                  <c:v>45539</c:v>
                </c:pt>
                <c:pt idx="188">
                  <c:v>45540</c:v>
                </c:pt>
                <c:pt idx="189">
                  <c:v>45541</c:v>
                </c:pt>
                <c:pt idx="190">
                  <c:v>45542</c:v>
                </c:pt>
                <c:pt idx="191">
                  <c:v>45543</c:v>
                </c:pt>
                <c:pt idx="192">
                  <c:v>45544</c:v>
                </c:pt>
                <c:pt idx="193">
                  <c:v>45545</c:v>
                </c:pt>
                <c:pt idx="194">
                  <c:v>45546</c:v>
                </c:pt>
                <c:pt idx="195">
                  <c:v>45547</c:v>
                </c:pt>
                <c:pt idx="196">
                  <c:v>45548</c:v>
                </c:pt>
                <c:pt idx="197">
                  <c:v>45549</c:v>
                </c:pt>
                <c:pt idx="198">
                  <c:v>45550</c:v>
                </c:pt>
                <c:pt idx="199">
                  <c:v>45551</c:v>
                </c:pt>
                <c:pt idx="200">
                  <c:v>45552</c:v>
                </c:pt>
                <c:pt idx="201">
                  <c:v>45553</c:v>
                </c:pt>
                <c:pt idx="202">
                  <c:v>45554</c:v>
                </c:pt>
                <c:pt idx="203">
                  <c:v>45555</c:v>
                </c:pt>
                <c:pt idx="204">
                  <c:v>45556</c:v>
                </c:pt>
                <c:pt idx="205">
                  <c:v>45557</c:v>
                </c:pt>
                <c:pt idx="206">
                  <c:v>45558</c:v>
                </c:pt>
                <c:pt idx="207">
                  <c:v>45559</c:v>
                </c:pt>
                <c:pt idx="208">
                  <c:v>45560</c:v>
                </c:pt>
                <c:pt idx="209">
                  <c:v>45561</c:v>
                </c:pt>
                <c:pt idx="210">
                  <c:v>45562</c:v>
                </c:pt>
                <c:pt idx="211">
                  <c:v>45563</c:v>
                </c:pt>
                <c:pt idx="212">
                  <c:v>45564</c:v>
                </c:pt>
                <c:pt idx="213">
                  <c:v>45565</c:v>
                </c:pt>
                <c:pt idx="214">
                  <c:v>45566</c:v>
                </c:pt>
                <c:pt idx="215">
                  <c:v>45567</c:v>
                </c:pt>
                <c:pt idx="216">
                  <c:v>45568</c:v>
                </c:pt>
                <c:pt idx="217">
                  <c:v>45569</c:v>
                </c:pt>
                <c:pt idx="218">
                  <c:v>45570</c:v>
                </c:pt>
                <c:pt idx="219">
                  <c:v>45571</c:v>
                </c:pt>
                <c:pt idx="220">
                  <c:v>45572</c:v>
                </c:pt>
                <c:pt idx="221">
                  <c:v>45573</c:v>
                </c:pt>
                <c:pt idx="222">
                  <c:v>45574</c:v>
                </c:pt>
                <c:pt idx="223">
                  <c:v>45575</c:v>
                </c:pt>
                <c:pt idx="224">
                  <c:v>45576</c:v>
                </c:pt>
                <c:pt idx="225">
                  <c:v>45577</c:v>
                </c:pt>
                <c:pt idx="226">
                  <c:v>45578</c:v>
                </c:pt>
                <c:pt idx="227">
                  <c:v>45579</c:v>
                </c:pt>
                <c:pt idx="228">
                  <c:v>45580</c:v>
                </c:pt>
                <c:pt idx="229">
                  <c:v>45581</c:v>
                </c:pt>
                <c:pt idx="230">
                  <c:v>45582</c:v>
                </c:pt>
                <c:pt idx="231">
                  <c:v>45583</c:v>
                </c:pt>
                <c:pt idx="232">
                  <c:v>45584</c:v>
                </c:pt>
                <c:pt idx="233">
                  <c:v>45585</c:v>
                </c:pt>
                <c:pt idx="234">
                  <c:v>45586</c:v>
                </c:pt>
                <c:pt idx="235">
                  <c:v>45587</c:v>
                </c:pt>
                <c:pt idx="236">
                  <c:v>45588</c:v>
                </c:pt>
                <c:pt idx="237">
                  <c:v>45589</c:v>
                </c:pt>
                <c:pt idx="238">
                  <c:v>45590</c:v>
                </c:pt>
                <c:pt idx="239">
                  <c:v>45591</c:v>
                </c:pt>
                <c:pt idx="240">
                  <c:v>45592</c:v>
                </c:pt>
                <c:pt idx="241">
                  <c:v>45593</c:v>
                </c:pt>
                <c:pt idx="242">
                  <c:v>45594</c:v>
                </c:pt>
                <c:pt idx="243">
                  <c:v>45595</c:v>
                </c:pt>
                <c:pt idx="244">
                  <c:v>45596</c:v>
                </c:pt>
                <c:pt idx="245">
                  <c:v>45597</c:v>
                </c:pt>
                <c:pt idx="246">
                  <c:v>45598</c:v>
                </c:pt>
                <c:pt idx="247">
                  <c:v>45599</c:v>
                </c:pt>
                <c:pt idx="248">
                  <c:v>45600</c:v>
                </c:pt>
                <c:pt idx="249">
                  <c:v>45601</c:v>
                </c:pt>
                <c:pt idx="250">
                  <c:v>45602</c:v>
                </c:pt>
                <c:pt idx="251">
                  <c:v>45603</c:v>
                </c:pt>
                <c:pt idx="252">
                  <c:v>45604</c:v>
                </c:pt>
                <c:pt idx="253">
                  <c:v>45605</c:v>
                </c:pt>
                <c:pt idx="254">
                  <c:v>45606</c:v>
                </c:pt>
                <c:pt idx="255">
                  <c:v>45607</c:v>
                </c:pt>
                <c:pt idx="256">
                  <c:v>45608</c:v>
                </c:pt>
                <c:pt idx="257">
                  <c:v>45609</c:v>
                </c:pt>
                <c:pt idx="258">
                  <c:v>45610</c:v>
                </c:pt>
                <c:pt idx="259">
                  <c:v>45611</c:v>
                </c:pt>
                <c:pt idx="260">
                  <c:v>45612</c:v>
                </c:pt>
                <c:pt idx="261">
                  <c:v>45613</c:v>
                </c:pt>
                <c:pt idx="262">
                  <c:v>45614</c:v>
                </c:pt>
                <c:pt idx="263">
                  <c:v>45615</c:v>
                </c:pt>
                <c:pt idx="264">
                  <c:v>45616</c:v>
                </c:pt>
                <c:pt idx="265">
                  <c:v>45617</c:v>
                </c:pt>
                <c:pt idx="266">
                  <c:v>45618</c:v>
                </c:pt>
                <c:pt idx="267">
                  <c:v>45619</c:v>
                </c:pt>
                <c:pt idx="268">
                  <c:v>45620</c:v>
                </c:pt>
                <c:pt idx="269">
                  <c:v>45621</c:v>
                </c:pt>
                <c:pt idx="270">
                  <c:v>45622</c:v>
                </c:pt>
                <c:pt idx="271">
                  <c:v>45623</c:v>
                </c:pt>
                <c:pt idx="272">
                  <c:v>45624</c:v>
                </c:pt>
                <c:pt idx="273">
                  <c:v>45625</c:v>
                </c:pt>
                <c:pt idx="274">
                  <c:v>45626</c:v>
                </c:pt>
                <c:pt idx="275">
                  <c:v>45627</c:v>
                </c:pt>
                <c:pt idx="276">
                  <c:v>45628</c:v>
                </c:pt>
                <c:pt idx="277">
                  <c:v>45629</c:v>
                </c:pt>
              </c:numCache>
            </c:numRef>
          </c:cat>
          <c:val>
            <c:numRef>
              <c:f>'Forecast '!$D$2:$D$279</c:f>
              <c:numCache>
                <c:formatCode>General</c:formatCode>
                <c:ptCount val="278"/>
                <c:pt idx="138" formatCode="0.0">
                  <c:v>27.92</c:v>
                </c:pt>
                <c:pt idx="139" formatCode="0.0">
                  <c:v>25.952654920754977</c:v>
                </c:pt>
                <c:pt idx="140" formatCode="0.0">
                  <c:v>25.878226537491699</c:v>
                </c:pt>
                <c:pt idx="141" formatCode="0.0">
                  <c:v>25.803522697559284</c:v>
                </c:pt>
                <c:pt idx="142" formatCode="0.0">
                  <c:v>25.728545592668898</c:v>
                </c:pt>
                <c:pt idx="143" formatCode="0.0">
                  <c:v>25.653297394368629</c:v>
                </c:pt>
                <c:pt idx="144" formatCode="0.0">
                  <c:v>25.577780253555648</c:v>
                </c:pt>
                <c:pt idx="145" formatCode="0.0">
                  <c:v>25.501996300039007</c:v>
                </c:pt>
                <c:pt idx="146" formatCode="0.0">
                  <c:v>25.42594764215097</c:v>
                </c:pt>
                <c:pt idx="147" formatCode="0.0">
                  <c:v>25.349636366403917</c:v>
                </c:pt>
                <c:pt idx="148" formatCode="0.0">
                  <c:v>25.273064537190866</c:v>
                </c:pt>
                <c:pt idx="149" formatCode="0.0">
                  <c:v>25.196234196526792</c:v>
                </c:pt>
                <c:pt idx="150" formatCode="0.0">
                  <c:v>25.119147363828962</c:v>
                </c:pt>
                <c:pt idx="151" formatCode="0.0">
                  <c:v>25.041806035733622</c:v>
                </c:pt>
                <c:pt idx="152" formatCode="0.0">
                  <c:v>24.964212185947428</c:v>
                </c:pt>
                <c:pt idx="153" formatCode="0.0">
                  <c:v>24.88636776513107</c:v>
                </c:pt>
                <c:pt idx="154" formatCode="0.0">
                  <c:v>24.808274700813662</c:v>
                </c:pt>
                <c:pt idx="155" formatCode="0.0">
                  <c:v>24.729934897335575</c:v>
                </c:pt>
                <c:pt idx="156" formatCode="0.0">
                  <c:v>24.651350235818335</c:v>
                </c:pt>
                <c:pt idx="157" formatCode="0.0">
                  <c:v>24.572522574159429</c:v>
                </c:pt>
                <c:pt idx="158" formatCode="0.0">
                  <c:v>24.493453747050882</c:v>
                </c:pt>
                <c:pt idx="159" formatCode="0.0">
                  <c:v>24.414145566019517</c:v>
                </c:pt>
                <c:pt idx="160" formatCode="0.0">
                  <c:v>24.334599819487881</c:v>
                </c:pt>
                <c:pt idx="161" formatCode="0.0">
                  <c:v>24.254818272853989</c:v>
                </c:pt>
                <c:pt idx="162" formatCode="0.0">
                  <c:v>24.174802668588928</c:v>
                </c:pt>
                <c:pt idx="163" formatCode="0.0">
                  <c:v>24.094554726350609</c:v>
                </c:pt>
                <c:pt idx="164" formatCode="0.0">
                  <c:v>24.014076143112884</c:v>
                </c:pt>
                <c:pt idx="165" formatCode="0.0">
                  <c:v>23.933368593308387</c:v>
                </c:pt>
                <c:pt idx="166" formatCode="0.0">
                  <c:v>23.85243372898449</c:v>
                </c:pt>
                <c:pt idx="167" formatCode="0.0">
                  <c:v>23.771273179970791</c:v>
                </c:pt>
                <c:pt idx="168" formatCode="0.0">
                  <c:v>23.689888554057706</c:v>
                </c:pt>
                <c:pt idx="169" formatCode="0.0">
                  <c:v>23.608281437184623</c:v>
                </c:pt>
                <c:pt idx="170" formatCode="0.0">
                  <c:v>23.526453393637318</c:v>
                </c:pt>
                <c:pt idx="171" formatCode="0.0">
                  <c:v>23.444405966253271</c:v>
                </c:pt>
                <c:pt idx="172" formatCode="0.0">
                  <c:v>23.36214067663451</c:v>
                </c:pt>
                <c:pt idx="173" formatCode="0.0">
                  <c:v>23.279659025366861</c:v>
                </c:pt>
                <c:pt idx="174" formatCode="0.0">
                  <c:v>23.196962492245277</c:v>
                </c:pt>
                <c:pt idx="175" formatCode="0.0">
                  <c:v>23.114052536504172</c:v>
                </c:pt>
                <c:pt idx="176" formatCode="0.0">
                  <c:v>23.030930597052571</c:v>
                </c:pt>
                <c:pt idx="177" formatCode="0.0">
                  <c:v>22.947598092713022</c:v>
                </c:pt>
                <c:pt idx="178" formatCode="0.0">
                  <c:v>22.864056422464202</c:v>
                </c:pt>
                <c:pt idx="179" formatCode="0.0">
                  <c:v>22.780306965686236</c:v>
                </c:pt>
                <c:pt idx="180" formatCode="0.0">
                  <c:v>22.696351082408661</c:v>
                </c:pt>
                <c:pt idx="181" formatCode="0.0">
                  <c:v>22.612190113560189</c:v>
                </c:pt>
                <c:pt idx="182" formatCode="0.0">
                  <c:v>22.527825381220261</c:v>
                </c:pt>
                <c:pt idx="183" formatCode="0.0">
                  <c:v>22.443258188871525</c:v>
                </c:pt>
                <c:pt idx="184" formatCode="0.0">
                  <c:v>22.3584898216534</c:v>
                </c:pt>
                <c:pt idx="185" formatCode="0.0">
                  <c:v>22.2735215466158</c:v>
                </c:pt>
                <c:pt idx="186" formatCode="0.0">
                  <c:v>22.188354612973306</c:v>
                </c:pt>
                <c:pt idx="187" formatCode="0.0">
                  <c:v>22.102990252358889</c:v>
                </c:pt>
                <c:pt idx="188" formatCode="0.0">
                  <c:v>22.01742967907748</c:v>
                </c:pt>
                <c:pt idx="189" formatCode="0.0">
                  <c:v>21.931674090358584</c:v>
                </c:pt>
                <c:pt idx="190" formatCode="0.0">
                  <c:v>21.845724666608234</c:v>
                </c:pt>
                <c:pt idx="191" formatCode="0.0">
                  <c:v>21.759582571659575</c:v>
                </c:pt>
                <c:pt idx="192" formatCode="0.0">
                  <c:v>21.673248953022291</c:v>
                </c:pt>
                <c:pt idx="193" formatCode="0.0">
                  <c:v>21.586724942130331</c:v>
                </c:pt>
                <c:pt idx="194" formatCode="0.0">
                  <c:v>21.500011654588153</c:v>
                </c:pt>
                <c:pt idx="195" formatCode="0.0">
                  <c:v>21.413110190414876</c:v>
                </c:pt>
                <c:pt idx="196" formatCode="0.0">
                  <c:v>21.32602163428669</c:v>
                </c:pt>
                <c:pt idx="197" formatCode="0.0">
                  <c:v>21.238747055776901</c:v>
                </c:pt>
                <c:pt idx="198" formatCode="0.0">
                  <c:v>21.151287509593992</c:v>
                </c:pt>
                <c:pt idx="199" formatCode="0.0">
                  <c:v>21.063644035817084</c:v>
                </c:pt>
                <c:pt idx="200" formatCode="0.0">
                  <c:v>20.975817660129238</c:v>
                </c:pt>
                <c:pt idx="201" formatCode="0.0">
                  <c:v>20.887809394047945</c:v>
                </c:pt>
                <c:pt idx="202" formatCode="0.0">
                  <c:v>20.799620235153309</c:v>
                </c:pt>
                <c:pt idx="203" formatCode="0.0">
                  <c:v>20.711251167313321</c:v>
                </c:pt>
                <c:pt idx="204" formatCode="0.0">
                  <c:v>20.622703160906614</c:v>
                </c:pt>
                <c:pt idx="205" formatCode="0.0">
                  <c:v>20.533977173042278</c:v>
                </c:pt>
                <c:pt idx="206" formatCode="0.0">
                  <c:v>20.445074147777021</c:v>
                </c:pt>
                <c:pt idx="207" formatCode="0.0">
                  <c:v>20.355995016329317</c:v>
                </c:pt>
                <c:pt idx="208" formatCode="0.0">
                  <c:v>20.266740697290853</c:v>
                </c:pt>
                <c:pt idx="209" formatCode="0.0">
                  <c:v>20.177312096834861</c:v>
                </c:pt>
                <c:pt idx="210" formatCode="0.0">
                  <c:v>20.08771010892174</c:v>
                </c:pt>
                <c:pt idx="211" formatCode="0.0">
                  <c:v>19.997935615501554</c:v>
                </c:pt>
                <c:pt idx="212" formatCode="0.0">
                  <c:v>19.907989486713731</c:v>
                </c:pt>
                <c:pt idx="213" formatCode="0.0">
                  <c:v>19.817872581083659</c:v>
                </c:pt>
                <c:pt idx="214" formatCode="0.0">
                  <c:v>19.727585745716482</c:v>
                </c:pt>
                <c:pt idx="215" formatCode="0.0">
                  <c:v>19.637129816487771</c:v>
                </c:pt>
                <c:pt idx="216" formatCode="0.0">
                  <c:v>19.54650561823146</c:v>
                </c:pt>
                <c:pt idx="217" formatCode="0.0">
                  <c:v>19.455713964924559</c:v>
                </c:pt>
                <c:pt idx="218" formatCode="0.0">
                  <c:v>19.364755659869257</c:v>
                </c:pt>
                <c:pt idx="219" formatCode="0.0">
                  <c:v>19.273631495871818</c:v>
                </c:pt>
                <c:pt idx="220" formatCode="0.0">
                  <c:v>19.182342255418821</c:v>
                </c:pt>
                <c:pt idx="221" formatCode="0.0">
                  <c:v>19.090888710850315</c:v>
                </c:pt>
                <c:pt idx="222" formatCode="0.0">
                  <c:v>18.999271624530323</c:v>
                </c:pt>
                <c:pt idx="223" formatCode="0.0">
                  <c:v>18.907491749014277</c:v>
                </c:pt>
                <c:pt idx="224" formatCode="0.0">
                  <c:v>18.815549827213921</c:v>
                </c:pt>
                <c:pt idx="225" formatCode="0.0">
                  <c:v>18.723446592559121</c:v>
                </c:pt>
                <c:pt idx="226" formatCode="0.0">
                  <c:v>18.631182769157235</c:v>
                </c:pt>
                <c:pt idx="227" formatCode="0.0">
                  <c:v>18.538759071949464</c:v>
                </c:pt>
                <c:pt idx="228" formatCode="0.0">
                  <c:v>18.446176206864777</c:v>
                </c:pt>
                <c:pt idx="229" formatCode="0.0">
                  <c:v>18.353434870970901</c:v>
                </c:pt>
                <c:pt idx="230" formatCode="0.0">
                  <c:v>18.260535752622943</c:v>
                </c:pt>
                <c:pt idx="231" formatCode="0.0">
                  <c:v>18.167479531609168</c:v>
                </c:pt>
                <c:pt idx="232" formatCode="0.0">
                  <c:v>18.074266879294456</c:v>
                </c:pt>
                <c:pt idx="233" formatCode="0.0">
                  <c:v>17.980898458760926</c:v>
                </c:pt>
                <c:pt idx="234" formatCode="0.0">
                  <c:v>17.887374924946418</c:v>
                </c:pt>
                <c:pt idx="235" formatCode="0.0">
                  <c:v>17.793696924780136</c:v>
                </c:pt>
                <c:pt idx="236" formatCode="0.0">
                  <c:v>17.699865097316209</c:v>
                </c:pt>
                <c:pt idx="237" formatCode="0.0">
                  <c:v>17.605880073864562</c:v>
                </c:pt>
                <c:pt idx="238" formatCode="0.0">
                  <c:v>17.511742478119672</c:v>
                </c:pt>
                <c:pt idx="239" formatCode="0.0">
                  <c:v>17.417452926286806</c:v>
                </c:pt>
                <c:pt idx="240" formatCode="0.0">
                  <c:v>17.323012027206133</c:v>
                </c:pt>
                <c:pt idx="241" formatCode="0.0">
                  <c:v>17.228420382474418</c:v>
                </c:pt>
                <c:pt idx="242" formatCode="0.0">
                  <c:v>17.13367858656472</c:v>
                </c:pt>
                <c:pt idx="243" formatCode="0.0">
                  <c:v>17.038787226943633</c:v>
                </c:pt>
                <c:pt idx="244" formatCode="0.0">
                  <c:v>16.943746884186677</c:v>
                </c:pt>
                <c:pt idx="245" formatCode="0.0">
                  <c:v>16.848558132091309</c:v>
                </c:pt>
                <c:pt idx="246" formatCode="0.0">
                  <c:v>16.753221537788118</c:v>
                </c:pt>
                <c:pt idx="247" formatCode="0.0">
                  <c:v>16.657737661849712</c:v>
                </c:pt>
                <c:pt idx="248" formatCode="0.0">
                  <c:v>16.562107058397878</c:v>
                </c:pt>
                <c:pt idx="249" formatCode="0.0">
                  <c:v>16.46633027520852</c:v>
                </c:pt>
                <c:pt idx="250" formatCode="0.0">
                  <c:v>16.370407853814896</c:v>
                </c:pt>
                <c:pt idx="251" formatCode="0.0">
                  <c:v>16.274340329608705</c:v>
                </c:pt>
                <c:pt idx="252" formatCode="0.0">
                  <c:v>16.178128231939581</c:v>
                </c:pt>
                <c:pt idx="253" formatCode="0.0">
                  <c:v>16.081772084212488</c:v>
                </c:pt>
                <c:pt idx="254" formatCode="0.0">
                  <c:v>15.985272403983565</c:v>
                </c:pt>
                <c:pt idx="255" formatCode="0.0">
                  <c:v>15.888629703053937</c:v>
                </c:pt>
                <c:pt idx="256" formatCode="0.0">
                  <c:v>15.791844487562075</c:v>
                </c:pt>
                <c:pt idx="257" formatCode="0.0">
                  <c:v>15.69491725807419</c:v>
                </c:pt>
                <c:pt idx="258" formatCode="0.0">
                  <c:v>15.597848509673167</c:v>
                </c:pt>
                <c:pt idx="259" formatCode="0.0">
                  <c:v>15.500638732045676</c:v>
                </c:pt>
                <c:pt idx="260" formatCode="0.0">
                  <c:v>15.403288409567862</c:v>
                </c:pt>
                <c:pt idx="261" formatCode="0.0">
                  <c:v>15.305798021389235</c:v>
                </c:pt>
                <c:pt idx="262" formatCode="0.0">
                  <c:v>15.208168041515243</c:v>
                </c:pt>
                <c:pt idx="263" formatCode="0.0">
                  <c:v>15.110398938888101</c:v>
                </c:pt>
                <c:pt idx="264" formatCode="0.0">
                  <c:v>15.012491177466323</c:v>
                </c:pt>
                <c:pt idx="265" formatCode="0.0">
                  <c:v>14.914445216302619</c:v>
                </c:pt>
                <c:pt idx="266" formatCode="0.0">
                  <c:v>14.816261509620514</c:v>
                </c:pt>
                <c:pt idx="267" formatCode="0.0">
                  <c:v>14.717940506889381</c:v>
                </c:pt>
                <c:pt idx="268" formatCode="0.0">
                  <c:v>14.619482652898297</c:v>
                </c:pt>
                <c:pt idx="269" formatCode="0.0">
                  <c:v>14.520888387828322</c:v>
                </c:pt>
                <c:pt idx="270" formatCode="0.0">
                  <c:v>14.422158147323685</c:v>
                </c:pt>
                <c:pt idx="271" formatCode="0.0">
                  <c:v>14.323292362561412</c:v>
                </c:pt>
                <c:pt idx="272" formatCode="0.0">
                  <c:v>14.224291460319924</c:v>
                </c:pt>
                <c:pt idx="273" formatCode="0.0">
                  <c:v>14.12515586304615</c:v>
                </c:pt>
                <c:pt idx="274" formatCode="0.0">
                  <c:v>14.025885988921639</c:v>
                </c:pt>
                <c:pt idx="275" formatCode="0.0">
                  <c:v>13.926482251927235</c:v>
                </c:pt>
                <c:pt idx="276" formatCode="0.0">
                  <c:v>13.826945061906795</c:v>
                </c:pt>
                <c:pt idx="277" formatCode="0.0">
                  <c:v>13.727274824629522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FD-4A8C-B9FF-B5D9AC72107A}"/>
            </c:ext>
          </c:extLst>
        </c:ser>
        <c:ser>
          <c:idx val="3"/>
          <c:order val="3"/>
          <c:tx>
            <c:strRef>
              <c:f>'Forecast '!$E$1</c:f>
              <c:strCache>
                <c:ptCount val="1"/>
                <c:pt idx="0">
                  <c:v>Upper Confidence Bound(Sales)</c:v>
                </c:pt>
              </c:strCache>
            </c:strRef>
          </c:tx>
          <c:spPr>
            <a:ln w="12700" cap="rnd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'Forecast '!$A$2:$A$279</c:f>
              <c:numCache>
                <c:formatCode>m/d/yyyy</c:formatCode>
                <c:ptCount val="278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  <c:pt idx="30">
                  <c:v>45382</c:v>
                </c:pt>
                <c:pt idx="31">
                  <c:v>45383</c:v>
                </c:pt>
                <c:pt idx="32">
                  <c:v>45384</c:v>
                </c:pt>
                <c:pt idx="33">
                  <c:v>45385</c:v>
                </c:pt>
                <c:pt idx="34">
                  <c:v>45386</c:v>
                </c:pt>
                <c:pt idx="35">
                  <c:v>45387</c:v>
                </c:pt>
                <c:pt idx="36">
                  <c:v>45388</c:v>
                </c:pt>
                <c:pt idx="37">
                  <c:v>45389</c:v>
                </c:pt>
                <c:pt idx="38">
                  <c:v>45390</c:v>
                </c:pt>
                <c:pt idx="39">
                  <c:v>45391</c:v>
                </c:pt>
                <c:pt idx="40">
                  <c:v>45392</c:v>
                </c:pt>
                <c:pt idx="41">
                  <c:v>45393</c:v>
                </c:pt>
                <c:pt idx="42">
                  <c:v>45394</c:v>
                </c:pt>
                <c:pt idx="43">
                  <c:v>45395</c:v>
                </c:pt>
                <c:pt idx="44">
                  <c:v>45396</c:v>
                </c:pt>
                <c:pt idx="45">
                  <c:v>45397</c:v>
                </c:pt>
                <c:pt idx="46">
                  <c:v>45398</c:v>
                </c:pt>
                <c:pt idx="47">
                  <c:v>45399</c:v>
                </c:pt>
                <c:pt idx="48">
                  <c:v>45400</c:v>
                </c:pt>
                <c:pt idx="49">
                  <c:v>45401</c:v>
                </c:pt>
                <c:pt idx="50">
                  <c:v>45402</c:v>
                </c:pt>
                <c:pt idx="51">
                  <c:v>45403</c:v>
                </c:pt>
                <c:pt idx="52">
                  <c:v>45404</c:v>
                </c:pt>
                <c:pt idx="53">
                  <c:v>45405</c:v>
                </c:pt>
                <c:pt idx="54">
                  <c:v>45406</c:v>
                </c:pt>
                <c:pt idx="55">
                  <c:v>45407</c:v>
                </c:pt>
                <c:pt idx="56">
                  <c:v>45408</c:v>
                </c:pt>
                <c:pt idx="57">
                  <c:v>45409</c:v>
                </c:pt>
                <c:pt idx="58">
                  <c:v>45410</c:v>
                </c:pt>
                <c:pt idx="59">
                  <c:v>45411</c:v>
                </c:pt>
                <c:pt idx="60">
                  <c:v>45412</c:v>
                </c:pt>
                <c:pt idx="61">
                  <c:v>45413</c:v>
                </c:pt>
                <c:pt idx="62">
                  <c:v>45414</c:v>
                </c:pt>
                <c:pt idx="63">
                  <c:v>45415</c:v>
                </c:pt>
                <c:pt idx="64">
                  <c:v>45416</c:v>
                </c:pt>
                <c:pt idx="65">
                  <c:v>45417</c:v>
                </c:pt>
                <c:pt idx="66">
                  <c:v>45418</c:v>
                </c:pt>
                <c:pt idx="67">
                  <c:v>45419</c:v>
                </c:pt>
                <c:pt idx="68">
                  <c:v>45420</c:v>
                </c:pt>
                <c:pt idx="69">
                  <c:v>45421</c:v>
                </c:pt>
                <c:pt idx="70">
                  <c:v>45422</c:v>
                </c:pt>
                <c:pt idx="71">
                  <c:v>45423</c:v>
                </c:pt>
                <c:pt idx="72">
                  <c:v>45424</c:v>
                </c:pt>
                <c:pt idx="73">
                  <c:v>45425</c:v>
                </c:pt>
                <c:pt idx="74">
                  <c:v>45426</c:v>
                </c:pt>
                <c:pt idx="75">
                  <c:v>45427</c:v>
                </c:pt>
                <c:pt idx="76">
                  <c:v>45428</c:v>
                </c:pt>
                <c:pt idx="77">
                  <c:v>45429</c:v>
                </c:pt>
                <c:pt idx="78">
                  <c:v>45430</c:v>
                </c:pt>
                <c:pt idx="79">
                  <c:v>45431</c:v>
                </c:pt>
                <c:pt idx="80">
                  <c:v>45432</c:v>
                </c:pt>
                <c:pt idx="81">
                  <c:v>45433</c:v>
                </c:pt>
                <c:pt idx="82">
                  <c:v>45434</c:v>
                </c:pt>
                <c:pt idx="83">
                  <c:v>45435</c:v>
                </c:pt>
                <c:pt idx="84">
                  <c:v>45436</c:v>
                </c:pt>
                <c:pt idx="85">
                  <c:v>45437</c:v>
                </c:pt>
                <c:pt idx="86">
                  <c:v>45438</c:v>
                </c:pt>
                <c:pt idx="87">
                  <c:v>45439</c:v>
                </c:pt>
                <c:pt idx="88">
                  <c:v>45440</c:v>
                </c:pt>
                <c:pt idx="89">
                  <c:v>45441</c:v>
                </c:pt>
                <c:pt idx="90">
                  <c:v>45442</c:v>
                </c:pt>
                <c:pt idx="91">
                  <c:v>45443</c:v>
                </c:pt>
                <c:pt idx="92">
                  <c:v>45444</c:v>
                </c:pt>
                <c:pt idx="93">
                  <c:v>45445</c:v>
                </c:pt>
                <c:pt idx="94">
                  <c:v>45446</c:v>
                </c:pt>
                <c:pt idx="95">
                  <c:v>45447</c:v>
                </c:pt>
                <c:pt idx="96">
                  <c:v>45448</c:v>
                </c:pt>
                <c:pt idx="97">
                  <c:v>45449</c:v>
                </c:pt>
                <c:pt idx="98">
                  <c:v>45450</c:v>
                </c:pt>
                <c:pt idx="99">
                  <c:v>45451</c:v>
                </c:pt>
                <c:pt idx="100">
                  <c:v>45452</c:v>
                </c:pt>
                <c:pt idx="101">
                  <c:v>45453</c:v>
                </c:pt>
                <c:pt idx="102">
                  <c:v>45454</c:v>
                </c:pt>
                <c:pt idx="103">
                  <c:v>45455</c:v>
                </c:pt>
                <c:pt idx="104">
                  <c:v>45456</c:v>
                </c:pt>
                <c:pt idx="105">
                  <c:v>45457</c:v>
                </c:pt>
                <c:pt idx="106">
                  <c:v>45458</c:v>
                </c:pt>
                <c:pt idx="107">
                  <c:v>45459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45465</c:v>
                </c:pt>
                <c:pt idx="114">
                  <c:v>45466</c:v>
                </c:pt>
                <c:pt idx="115">
                  <c:v>45467</c:v>
                </c:pt>
                <c:pt idx="116">
                  <c:v>45468</c:v>
                </c:pt>
                <c:pt idx="117">
                  <c:v>45469</c:v>
                </c:pt>
                <c:pt idx="118">
                  <c:v>45470</c:v>
                </c:pt>
                <c:pt idx="119">
                  <c:v>45471</c:v>
                </c:pt>
                <c:pt idx="120">
                  <c:v>45472</c:v>
                </c:pt>
                <c:pt idx="121">
                  <c:v>45473</c:v>
                </c:pt>
                <c:pt idx="122">
                  <c:v>45474</c:v>
                </c:pt>
                <c:pt idx="123">
                  <c:v>45475</c:v>
                </c:pt>
                <c:pt idx="124">
                  <c:v>45476</c:v>
                </c:pt>
                <c:pt idx="125">
                  <c:v>45477</c:v>
                </c:pt>
                <c:pt idx="126">
                  <c:v>45478</c:v>
                </c:pt>
                <c:pt idx="127">
                  <c:v>45479</c:v>
                </c:pt>
                <c:pt idx="128">
                  <c:v>45480</c:v>
                </c:pt>
                <c:pt idx="129">
                  <c:v>45481</c:v>
                </c:pt>
                <c:pt idx="130">
                  <c:v>45482</c:v>
                </c:pt>
                <c:pt idx="131">
                  <c:v>45483</c:v>
                </c:pt>
                <c:pt idx="132">
                  <c:v>45484</c:v>
                </c:pt>
                <c:pt idx="133">
                  <c:v>45485</c:v>
                </c:pt>
                <c:pt idx="134">
                  <c:v>45486</c:v>
                </c:pt>
                <c:pt idx="135">
                  <c:v>45487</c:v>
                </c:pt>
                <c:pt idx="136">
                  <c:v>45488</c:v>
                </c:pt>
                <c:pt idx="137">
                  <c:v>45489</c:v>
                </c:pt>
                <c:pt idx="138">
                  <c:v>45490</c:v>
                </c:pt>
                <c:pt idx="139">
                  <c:v>45491</c:v>
                </c:pt>
                <c:pt idx="140">
                  <c:v>45492</c:v>
                </c:pt>
                <c:pt idx="141">
                  <c:v>45493</c:v>
                </c:pt>
                <c:pt idx="142">
                  <c:v>45494</c:v>
                </c:pt>
                <c:pt idx="143">
                  <c:v>45495</c:v>
                </c:pt>
                <c:pt idx="144">
                  <c:v>45496</c:v>
                </c:pt>
                <c:pt idx="145">
                  <c:v>45497</c:v>
                </c:pt>
                <c:pt idx="146">
                  <c:v>45498</c:v>
                </c:pt>
                <c:pt idx="147">
                  <c:v>45499</c:v>
                </c:pt>
                <c:pt idx="148">
                  <c:v>45500</c:v>
                </c:pt>
                <c:pt idx="149">
                  <c:v>45501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45507</c:v>
                </c:pt>
                <c:pt idx="156">
                  <c:v>45508</c:v>
                </c:pt>
                <c:pt idx="157">
                  <c:v>45509</c:v>
                </c:pt>
                <c:pt idx="158">
                  <c:v>45510</c:v>
                </c:pt>
                <c:pt idx="159">
                  <c:v>45511</c:v>
                </c:pt>
                <c:pt idx="160">
                  <c:v>45512</c:v>
                </c:pt>
                <c:pt idx="161">
                  <c:v>45513</c:v>
                </c:pt>
                <c:pt idx="162">
                  <c:v>45514</c:v>
                </c:pt>
                <c:pt idx="163">
                  <c:v>45515</c:v>
                </c:pt>
                <c:pt idx="164">
                  <c:v>45516</c:v>
                </c:pt>
                <c:pt idx="165">
                  <c:v>45517</c:v>
                </c:pt>
                <c:pt idx="166">
                  <c:v>45518</c:v>
                </c:pt>
                <c:pt idx="167">
                  <c:v>45519</c:v>
                </c:pt>
                <c:pt idx="168">
                  <c:v>45520</c:v>
                </c:pt>
                <c:pt idx="169">
                  <c:v>45521</c:v>
                </c:pt>
                <c:pt idx="170">
                  <c:v>45522</c:v>
                </c:pt>
                <c:pt idx="171">
                  <c:v>45523</c:v>
                </c:pt>
                <c:pt idx="172">
                  <c:v>45524</c:v>
                </c:pt>
                <c:pt idx="173">
                  <c:v>45525</c:v>
                </c:pt>
                <c:pt idx="174">
                  <c:v>45526</c:v>
                </c:pt>
                <c:pt idx="175">
                  <c:v>45527</c:v>
                </c:pt>
                <c:pt idx="176">
                  <c:v>45528</c:v>
                </c:pt>
                <c:pt idx="177">
                  <c:v>45529</c:v>
                </c:pt>
                <c:pt idx="178">
                  <c:v>45530</c:v>
                </c:pt>
                <c:pt idx="179">
                  <c:v>45531</c:v>
                </c:pt>
                <c:pt idx="180">
                  <c:v>45532</c:v>
                </c:pt>
                <c:pt idx="181">
                  <c:v>45533</c:v>
                </c:pt>
                <c:pt idx="182">
                  <c:v>45534</c:v>
                </c:pt>
                <c:pt idx="183">
                  <c:v>45535</c:v>
                </c:pt>
                <c:pt idx="184">
                  <c:v>45536</c:v>
                </c:pt>
                <c:pt idx="185">
                  <c:v>45537</c:v>
                </c:pt>
                <c:pt idx="186">
                  <c:v>45538</c:v>
                </c:pt>
                <c:pt idx="187">
                  <c:v>45539</c:v>
                </c:pt>
                <c:pt idx="188">
                  <c:v>45540</c:v>
                </c:pt>
                <c:pt idx="189">
                  <c:v>45541</c:v>
                </c:pt>
                <c:pt idx="190">
                  <c:v>45542</c:v>
                </c:pt>
                <c:pt idx="191">
                  <c:v>45543</c:v>
                </c:pt>
                <c:pt idx="192">
                  <c:v>45544</c:v>
                </c:pt>
                <c:pt idx="193">
                  <c:v>45545</c:v>
                </c:pt>
                <c:pt idx="194">
                  <c:v>45546</c:v>
                </c:pt>
                <c:pt idx="195">
                  <c:v>45547</c:v>
                </c:pt>
                <c:pt idx="196">
                  <c:v>45548</c:v>
                </c:pt>
                <c:pt idx="197">
                  <c:v>45549</c:v>
                </c:pt>
                <c:pt idx="198">
                  <c:v>45550</c:v>
                </c:pt>
                <c:pt idx="199">
                  <c:v>45551</c:v>
                </c:pt>
                <c:pt idx="200">
                  <c:v>45552</c:v>
                </c:pt>
                <c:pt idx="201">
                  <c:v>45553</c:v>
                </c:pt>
                <c:pt idx="202">
                  <c:v>45554</c:v>
                </c:pt>
                <c:pt idx="203">
                  <c:v>45555</c:v>
                </c:pt>
                <c:pt idx="204">
                  <c:v>45556</c:v>
                </c:pt>
                <c:pt idx="205">
                  <c:v>45557</c:v>
                </c:pt>
                <c:pt idx="206">
                  <c:v>45558</c:v>
                </c:pt>
                <c:pt idx="207">
                  <c:v>45559</c:v>
                </c:pt>
                <c:pt idx="208">
                  <c:v>45560</c:v>
                </c:pt>
                <c:pt idx="209">
                  <c:v>45561</c:v>
                </c:pt>
                <c:pt idx="210">
                  <c:v>45562</c:v>
                </c:pt>
                <c:pt idx="211">
                  <c:v>45563</c:v>
                </c:pt>
                <c:pt idx="212">
                  <c:v>45564</c:v>
                </c:pt>
                <c:pt idx="213">
                  <c:v>45565</c:v>
                </c:pt>
                <c:pt idx="214">
                  <c:v>45566</c:v>
                </c:pt>
                <c:pt idx="215">
                  <c:v>45567</c:v>
                </c:pt>
                <c:pt idx="216">
                  <c:v>45568</c:v>
                </c:pt>
                <c:pt idx="217">
                  <c:v>45569</c:v>
                </c:pt>
                <c:pt idx="218">
                  <c:v>45570</c:v>
                </c:pt>
                <c:pt idx="219">
                  <c:v>45571</c:v>
                </c:pt>
                <c:pt idx="220">
                  <c:v>45572</c:v>
                </c:pt>
                <c:pt idx="221">
                  <c:v>45573</c:v>
                </c:pt>
                <c:pt idx="222">
                  <c:v>45574</c:v>
                </c:pt>
                <c:pt idx="223">
                  <c:v>45575</c:v>
                </c:pt>
                <c:pt idx="224">
                  <c:v>45576</c:v>
                </c:pt>
                <c:pt idx="225">
                  <c:v>45577</c:v>
                </c:pt>
                <c:pt idx="226">
                  <c:v>45578</c:v>
                </c:pt>
                <c:pt idx="227">
                  <c:v>45579</c:v>
                </c:pt>
                <c:pt idx="228">
                  <c:v>45580</c:v>
                </c:pt>
                <c:pt idx="229">
                  <c:v>45581</c:v>
                </c:pt>
                <c:pt idx="230">
                  <c:v>45582</c:v>
                </c:pt>
                <c:pt idx="231">
                  <c:v>45583</c:v>
                </c:pt>
                <c:pt idx="232">
                  <c:v>45584</c:v>
                </c:pt>
                <c:pt idx="233">
                  <c:v>45585</c:v>
                </c:pt>
                <c:pt idx="234">
                  <c:v>45586</c:v>
                </c:pt>
                <c:pt idx="235">
                  <c:v>45587</c:v>
                </c:pt>
                <c:pt idx="236">
                  <c:v>45588</c:v>
                </c:pt>
                <c:pt idx="237">
                  <c:v>45589</c:v>
                </c:pt>
                <c:pt idx="238">
                  <c:v>45590</c:v>
                </c:pt>
                <c:pt idx="239">
                  <c:v>45591</c:v>
                </c:pt>
                <c:pt idx="240">
                  <c:v>45592</c:v>
                </c:pt>
                <c:pt idx="241">
                  <c:v>45593</c:v>
                </c:pt>
                <c:pt idx="242">
                  <c:v>45594</c:v>
                </c:pt>
                <c:pt idx="243">
                  <c:v>45595</c:v>
                </c:pt>
                <c:pt idx="244">
                  <c:v>45596</c:v>
                </c:pt>
                <c:pt idx="245">
                  <c:v>45597</c:v>
                </c:pt>
                <c:pt idx="246">
                  <c:v>45598</c:v>
                </c:pt>
                <c:pt idx="247">
                  <c:v>45599</c:v>
                </c:pt>
                <c:pt idx="248">
                  <c:v>45600</c:v>
                </c:pt>
                <c:pt idx="249">
                  <c:v>45601</c:v>
                </c:pt>
                <c:pt idx="250">
                  <c:v>45602</c:v>
                </c:pt>
                <c:pt idx="251">
                  <c:v>45603</c:v>
                </c:pt>
                <c:pt idx="252">
                  <c:v>45604</c:v>
                </c:pt>
                <c:pt idx="253">
                  <c:v>45605</c:v>
                </c:pt>
                <c:pt idx="254">
                  <c:v>45606</c:v>
                </c:pt>
                <c:pt idx="255">
                  <c:v>45607</c:v>
                </c:pt>
                <c:pt idx="256">
                  <c:v>45608</c:v>
                </c:pt>
                <c:pt idx="257">
                  <c:v>45609</c:v>
                </c:pt>
                <c:pt idx="258">
                  <c:v>45610</c:v>
                </c:pt>
                <c:pt idx="259">
                  <c:v>45611</c:v>
                </c:pt>
                <c:pt idx="260">
                  <c:v>45612</c:v>
                </c:pt>
                <c:pt idx="261">
                  <c:v>45613</c:v>
                </c:pt>
                <c:pt idx="262">
                  <c:v>45614</c:v>
                </c:pt>
                <c:pt idx="263">
                  <c:v>45615</c:v>
                </c:pt>
                <c:pt idx="264">
                  <c:v>45616</c:v>
                </c:pt>
                <c:pt idx="265">
                  <c:v>45617</c:v>
                </c:pt>
                <c:pt idx="266">
                  <c:v>45618</c:v>
                </c:pt>
                <c:pt idx="267">
                  <c:v>45619</c:v>
                </c:pt>
                <c:pt idx="268">
                  <c:v>45620</c:v>
                </c:pt>
                <c:pt idx="269">
                  <c:v>45621</c:v>
                </c:pt>
                <c:pt idx="270">
                  <c:v>45622</c:v>
                </c:pt>
                <c:pt idx="271">
                  <c:v>45623</c:v>
                </c:pt>
                <c:pt idx="272">
                  <c:v>45624</c:v>
                </c:pt>
                <c:pt idx="273">
                  <c:v>45625</c:v>
                </c:pt>
                <c:pt idx="274">
                  <c:v>45626</c:v>
                </c:pt>
                <c:pt idx="275">
                  <c:v>45627</c:v>
                </c:pt>
                <c:pt idx="276">
                  <c:v>45628</c:v>
                </c:pt>
                <c:pt idx="277">
                  <c:v>45629</c:v>
                </c:pt>
              </c:numCache>
            </c:numRef>
          </c:cat>
          <c:val>
            <c:numRef>
              <c:f>'Forecast '!$E$2:$E$279</c:f>
              <c:numCache>
                <c:formatCode>General</c:formatCode>
                <c:ptCount val="278"/>
                <c:pt idx="138" formatCode="0.0">
                  <c:v>27.92</c:v>
                </c:pt>
                <c:pt idx="139" formatCode="0.0">
                  <c:v>34.84044527419266</c:v>
                </c:pt>
                <c:pt idx="140" formatCode="0.0">
                  <c:v>34.83740576987492</c:v>
                </c:pt>
                <c:pt idx="141" formatCode="0.0">
                  <c:v>34.83464172222628</c:v>
                </c:pt>
                <c:pt idx="142" formatCode="0.0">
                  <c:v>34.832150939535644</c:v>
                </c:pt>
                <c:pt idx="143" formatCode="0.0">
                  <c:v>34.829931250254859</c:v>
                </c:pt>
                <c:pt idx="144" formatCode="0.0">
                  <c:v>34.827980503486813</c:v>
                </c:pt>
                <c:pt idx="145" formatCode="0.0">
                  <c:v>34.826296569422404</c:v>
                </c:pt>
                <c:pt idx="146" formatCode="0.0">
                  <c:v>34.824877339729419</c:v>
                </c:pt>
                <c:pt idx="147" formatCode="0.0">
                  <c:v>34.82372072789542</c:v>
                </c:pt>
                <c:pt idx="148" formatCode="0.0">
                  <c:v>34.822824669527449</c:v>
                </c:pt>
                <c:pt idx="149" formatCode="0.0">
                  <c:v>34.822187122610472</c:v>
                </c:pt>
                <c:pt idx="150" formatCode="0.0">
                  <c:v>34.82180606772728</c:v>
                </c:pt>
                <c:pt idx="151" formatCode="0.0">
                  <c:v>34.821679508241566</c:v>
                </c:pt>
                <c:pt idx="152" formatCode="0.0">
                  <c:v>34.821805470446733</c:v>
                </c:pt>
                <c:pt idx="153" formatCode="0.0">
                  <c:v>34.822182003682045</c:v>
                </c:pt>
                <c:pt idx="154" formatCode="0.0">
                  <c:v>34.82280718041843</c:v>
                </c:pt>
                <c:pt idx="155" formatCode="0.0">
                  <c:v>34.823679096315466</c:v>
                </c:pt>
                <c:pt idx="156" formatCode="0.0">
                  <c:v>34.824795870251684</c:v>
                </c:pt>
                <c:pt idx="157" formatCode="0.0">
                  <c:v>34.826155644329539</c:v>
                </c:pt>
                <c:pt idx="158" formatCode="0.0">
                  <c:v>34.827756583857052</c:v>
                </c:pt>
                <c:pt idx="159" formatCode="0.0">
                  <c:v>34.829596877307367</c:v>
                </c:pt>
                <c:pt idx="160" formatCode="0.0">
                  <c:v>34.83167473625798</c:v>
                </c:pt>
                <c:pt idx="161" formatCode="0.0">
                  <c:v>34.833988395310826</c:v>
                </c:pt>
                <c:pt idx="162" formatCode="0.0">
                  <c:v>34.83653611199486</c:v>
                </c:pt>
                <c:pt idx="163" formatCode="0.0">
                  <c:v>34.839316166652132</c:v>
                </c:pt>
                <c:pt idx="164" formatCode="0.0">
                  <c:v>34.842326862308838</c:v>
                </c:pt>
                <c:pt idx="165" formatCode="0.0">
                  <c:v>34.845566524532281</c:v>
                </c:pt>
                <c:pt idx="166" formatCode="0.0">
                  <c:v>34.849033501275159</c:v>
                </c:pt>
                <c:pt idx="167" formatCode="0.0">
                  <c:v>34.852726162707796</c:v>
                </c:pt>
                <c:pt idx="168" formatCode="0.0">
                  <c:v>34.856642901039862</c:v>
                </c:pt>
                <c:pt idx="169" formatCode="0.0">
                  <c:v>34.860782130331891</c:v>
                </c:pt>
                <c:pt idx="170" formatCode="0.0">
                  <c:v>34.865142286298173</c:v>
                </c:pt>
                <c:pt idx="171" formatCode="0.0">
                  <c:v>34.86972182610117</c:v>
                </c:pt>
                <c:pt idx="172" formatCode="0.0">
                  <c:v>34.874519228138908</c:v>
                </c:pt>
                <c:pt idx="173" formatCode="0.0">
                  <c:v>34.879532991825506</c:v>
                </c:pt>
                <c:pt idx="174" formatCode="0.0">
                  <c:v>34.884761637366061</c:v>
                </c:pt>
                <c:pt idx="175" formatCode="0.0">
                  <c:v>34.890203705526119</c:v>
                </c:pt>
                <c:pt idx="176" formatCode="0.0">
                  <c:v>34.895857757396698</c:v>
                </c:pt>
                <c:pt idx="177" formatCode="0.0">
                  <c:v>34.901722374155192</c:v>
                </c:pt>
                <c:pt idx="178" formatCode="0.0">
                  <c:v>34.90779615682299</c:v>
                </c:pt>
                <c:pt idx="179" formatCode="0.0">
                  <c:v>34.914077726019904</c:v>
                </c:pt>
                <c:pt idx="180" formatCode="0.0">
                  <c:v>34.920565721716457</c:v>
                </c:pt>
                <c:pt idx="181" formatCode="0.0">
                  <c:v>34.927258802983879</c:v>
                </c:pt>
                <c:pt idx="182" formatCode="0.0">
                  <c:v>34.934155647742784</c:v>
                </c:pt>
                <c:pt idx="183" formatCode="0.0">
                  <c:v>34.941254952510462</c:v>
                </c:pt>
                <c:pt idx="184" formatCode="0.0">
                  <c:v>34.948555432147565</c:v>
                </c:pt>
                <c:pt idx="185" formatCode="0.0">
                  <c:v>34.95605581960411</c:v>
                </c:pt>
                <c:pt idx="186" formatCode="0.0">
                  <c:v>34.963754865665585</c:v>
                </c:pt>
                <c:pt idx="187" formatCode="0.0">
                  <c:v>34.971651338698948</c:v>
                </c:pt>
                <c:pt idx="188" formatCode="0.0">
                  <c:v>34.979744024399338</c:v>
                </c:pt>
                <c:pt idx="189" formatCode="0.0">
                  <c:v>34.988031725537184</c:v>
                </c:pt>
                <c:pt idx="190" formatCode="0.0">
                  <c:v>34.996513261706504</c:v>
                </c:pt>
                <c:pt idx="191" formatCode="0.0">
                  <c:v>35.005187469074109</c:v>
                </c:pt>
                <c:pt idx="192" formatCode="0.0">
                  <c:v>35.014053200130377</c:v>
                </c:pt>
                <c:pt idx="193" formatCode="0.0">
                  <c:v>35.023109323441282</c:v>
                </c:pt>
                <c:pt idx="194" formatCode="0.0">
                  <c:v>35.032354723402435</c:v>
                </c:pt>
                <c:pt idx="195" formatCode="0.0">
                  <c:v>35.041788299994664</c:v>
                </c:pt>
                <c:pt idx="196" formatCode="0.0">
                  <c:v>35.051408968541828</c:v>
                </c:pt>
                <c:pt idx="197" formatCode="0.0">
                  <c:v>35.061215659470562</c:v>
                </c:pt>
                <c:pt idx="198" formatCode="0.0">
                  <c:v>35.071207318072453</c:v>
                </c:pt>
                <c:pt idx="199" formatCode="0.0">
                  <c:v>35.081382904268303</c:v>
                </c:pt>
                <c:pt idx="200" formatCode="0.0">
                  <c:v>35.091741392375127</c:v>
                </c:pt>
                <c:pt idx="201" formatCode="0.0">
                  <c:v>35.102281770875372</c:v>
                </c:pt>
                <c:pt idx="202" formatCode="0.0">
                  <c:v>35.113003042188978</c:v>
                </c:pt>
                <c:pt idx="203" formatCode="0.0">
                  <c:v>35.123904222447919</c:v>
                </c:pt>
                <c:pt idx="204" formatCode="0.0">
                  <c:v>35.134984341273601</c:v>
                </c:pt>
                <c:pt idx="205" formatCode="0.0">
                  <c:v>35.146242441556893</c:v>
                </c:pt>
                <c:pt idx="206" formatCode="0.0">
                  <c:v>35.157677579241117</c:v>
                </c:pt>
                <c:pt idx="207" formatCode="0.0">
                  <c:v>35.16928882310777</c:v>
                </c:pt>
                <c:pt idx="208" formatCode="0.0">
                  <c:v>35.181075254565208</c:v>
                </c:pt>
                <c:pt idx="209" formatCode="0.0">
                  <c:v>35.193035967440153</c:v>
                </c:pt>
                <c:pt idx="210" formatCode="0.0">
                  <c:v>35.205170067772251</c:v>
                </c:pt>
                <c:pt idx="211" formatCode="0.0">
                  <c:v>35.217476673611387</c:v>
                </c:pt>
                <c:pt idx="212" formatCode="0.0">
                  <c:v>35.229954914818187</c:v>
                </c:pt>
                <c:pt idx="213" formatCode="0.0">
                  <c:v>35.242603932867212</c:v>
                </c:pt>
                <c:pt idx="214" formatCode="0.0">
                  <c:v>35.255422880653363</c:v>
                </c:pt>
                <c:pt idx="215" formatCode="0.0">
                  <c:v>35.268410922301015</c:v>
                </c:pt>
                <c:pt idx="216" formatCode="0.0">
                  <c:v>35.281567232976307</c:v>
                </c:pt>
                <c:pt idx="217" formatCode="0.0">
                  <c:v>35.294890998702158</c:v>
                </c:pt>
                <c:pt idx="218" formatCode="0.0">
                  <c:v>35.308381416176431</c:v>
                </c:pt>
                <c:pt idx="219" formatCode="0.0">
                  <c:v>35.322037692592822</c:v>
                </c:pt>
                <c:pt idx="220" formatCode="0.0">
                  <c:v>35.335859045464801</c:v>
                </c:pt>
                <c:pt idx="221" formatCode="0.0">
                  <c:v>35.349844702452252</c:v>
                </c:pt>
                <c:pt idx="222" formatCode="0.0">
                  <c:v>35.363993901191215</c:v>
                </c:pt>
                <c:pt idx="223" formatCode="0.0">
                  <c:v>35.37830588912621</c:v>
                </c:pt>
                <c:pt idx="224" formatCode="0.0">
                  <c:v>35.392779923345543</c:v>
                </c:pt>
                <c:pt idx="225" formatCode="0.0">
                  <c:v>35.407415270419293</c:v>
                </c:pt>
                <c:pt idx="226" formatCode="0.0">
                  <c:v>35.422211206240156</c:v>
                </c:pt>
                <c:pt idx="227" formatCode="0.0">
                  <c:v>35.437167015866876</c:v>
                </c:pt>
                <c:pt idx="228" formatCode="0.0">
                  <c:v>35.452281993370541</c:v>
                </c:pt>
                <c:pt idx="229" formatCode="0.0">
                  <c:v>35.467555441683366</c:v>
                </c:pt>
                <c:pt idx="230" formatCode="0.0">
                  <c:v>35.482986672450302</c:v>
                </c:pt>
                <c:pt idx="231" formatCode="0.0">
                  <c:v>35.498575005883019</c:v>
                </c:pt>
                <c:pt idx="232" formatCode="0.0">
                  <c:v>35.514319770616709</c:v>
                </c:pt>
                <c:pt idx="233" formatCode="0.0">
                  <c:v>35.530220303569187</c:v>
                </c:pt>
                <c:pt idx="234" formatCode="0.0">
                  <c:v>35.546275949802677</c:v>
                </c:pt>
                <c:pt idx="235" formatCode="0.0">
                  <c:v>35.562486062387904</c:v>
                </c:pt>
                <c:pt idx="236" formatCode="0.0">
                  <c:v>35.578850002270812</c:v>
                </c:pt>
                <c:pt idx="237" formatCode="0.0">
                  <c:v>35.595367138141405</c:v>
                </c:pt>
                <c:pt idx="238" formatCode="0.0">
                  <c:v>35.612036846305266</c:v>
                </c:pt>
                <c:pt idx="239" formatCode="0.0">
                  <c:v>35.62885851055708</c:v>
                </c:pt>
                <c:pt idx="240" formatCode="0.0">
                  <c:v>35.645831522056731</c:v>
                </c:pt>
                <c:pt idx="241" formatCode="0.0">
                  <c:v>35.662955279207395</c:v>
                </c:pt>
                <c:pt idx="242" formatCode="0.0">
                  <c:v>35.680229187536071</c:v>
                </c:pt>
                <c:pt idx="243" formatCode="0.0">
                  <c:v>35.697652659576107</c:v>
                </c:pt>
                <c:pt idx="244" formatCode="0.0">
                  <c:v>35.715225114752045</c:v>
                </c:pt>
                <c:pt idx="245" formatCode="0.0">
                  <c:v>35.732945979266361</c:v>
                </c:pt>
                <c:pt idx="246" formatCode="0.0">
                  <c:v>35.75081468598853</c:v>
                </c:pt>
                <c:pt idx="247" formatCode="0.0">
                  <c:v>35.768830674345878</c:v>
                </c:pt>
                <c:pt idx="248" formatCode="0.0">
                  <c:v>35.786993390216686</c:v>
                </c:pt>
                <c:pt idx="249" formatCode="0.0">
                  <c:v>35.805302285824993</c:v>
                </c:pt>
                <c:pt idx="250" formatCode="0.0">
                  <c:v>35.823756819637595</c:v>
                </c:pt>
                <c:pt idx="251" formatCode="0.0">
                  <c:v>35.842356456262735</c:v>
                </c:pt>
                <c:pt idx="252" formatCode="0.0">
                  <c:v>35.861100666350836</c:v>
                </c:pt>
                <c:pt idx="253" formatCode="0.0">
                  <c:v>35.879988926496871</c:v>
                </c:pt>
                <c:pt idx="254" formatCode="0.0">
                  <c:v>35.899020719144772</c:v>
                </c:pt>
                <c:pt idx="255" formatCode="0.0">
                  <c:v>35.91819553249335</c:v>
                </c:pt>
                <c:pt idx="256" formatCode="0.0">
                  <c:v>35.93751286040419</c:v>
                </c:pt>
                <c:pt idx="257" formatCode="0.0">
                  <c:v>35.956972202311022</c:v>
                </c:pt>
                <c:pt idx="258" formatCode="0.0">
                  <c:v>35.976573063131028</c:v>
                </c:pt>
                <c:pt idx="259" formatCode="0.0">
                  <c:v>35.99631495317746</c:v>
                </c:pt>
                <c:pt idx="260" formatCode="0.0">
                  <c:v>36.016197388074254</c:v>
                </c:pt>
                <c:pt idx="261" formatCode="0.0">
                  <c:v>36.03621988867183</c:v>
                </c:pt>
                <c:pt idx="262" formatCode="0.0">
                  <c:v>36.056381980964801</c:v>
                </c:pt>
                <c:pt idx="263" formatCode="0.0">
                  <c:v>36.07668319601089</c:v>
                </c:pt>
                <c:pt idx="264" formatCode="0.0">
                  <c:v>36.097123069851641</c:v>
                </c:pt>
                <c:pt idx="265" formatCode="0.0">
                  <c:v>36.117701143434296</c:v>
                </c:pt>
                <c:pt idx="266" formatCode="0.0">
                  <c:v>36.138416962535374</c:v>
                </c:pt>
                <c:pt idx="267" formatCode="0.0">
                  <c:v>36.159270077685463</c:v>
                </c:pt>
                <c:pt idx="268" formatCode="0.0">
                  <c:v>36.180260044095519</c:v>
                </c:pt>
                <c:pt idx="269" formatCode="0.0">
                  <c:v>36.201386421584438</c:v>
                </c:pt>
                <c:pt idx="270" formatCode="0.0">
                  <c:v>36.222648774508052</c:v>
                </c:pt>
                <c:pt idx="271" formatCode="0.0">
                  <c:v>36.244046671689276</c:v>
                </c:pt>
                <c:pt idx="272" formatCode="0.0">
                  <c:v>36.265579686349739</c:v>
                </c:pt>
                <c:pt idx="273" formatCode="0.0">
                  <c:v>36.28724739604246</c:v>
                </c:pt>
                <c:pt idx="274" formatCode="0.0">
                  <c:v>36.309049382585954</c:v>
                </c:pt>
                <c:pt idx="275" formatCode="0.0">
                  <c:v>36.330985231999307</c:v>
                </c:pt>
                <c:pt idx="276" formatCode="0.0">
                  <c:v>36.353054534438726</c:v>
                </c:pt>
                <c:pt idx="277" formatCode="0.0">
                  <c:v>36.375256884134942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FD-4A8C-B9FF-B5D9AC721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298079"/>
        <c:axId val="1597299039"/>
      </c:lineChart>
      <c:catAx>
        <c:axId val="159729807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99039"/>
        <c:crosses val="autoZero"/>
        <c:auto val="1"/>
        <c:lblAlgn val="ctr"/>
        <c:lblOffset val="100"/>
        <c:noMultiLvlLbl val="0"/>
      </c:catAx>
      <c:valAx>
        <c:axId val="1597299039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98079"/>
        <c:crosses val="autoZero"/>
        <c:crossBetween val="between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rgbClr val="C00000">
          <a:alpha val="40000"/>
        </a:srgbClr>
      </a:glow>
      <a:innerShdw blurRad="114300" dist="12700">
        <a:prstClr val="black"/>
      </a:innerShdw>
    </a:effectLst>
    <a:scene3d>
      <a:camera prst="orthographicFront"/>
      <a:lightRig rig="threePt" dir="t"/>
    </a:scene3d>
    <a:sp3d>
      <a:bevelT/>
      <a:bevelB prst="angle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66675</xdr:rowOff>
    </xdr:from>
    <xdr:to>
      <xdr:col>7</xdr:col>
      <xdr:colOff>90488</xdr:colOff>
      <xdr:row>20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37A62E-F852-03F8-E027-EF126E7749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52387</xdr:colOff>
      <xdr:row>0</xdr:row>
      <xdr:rowOff>147636</xdr:rowOff>
    </xdr:from>
    <xdr:to>
      <xdr:col>15</xdr:col>
      <xdr:colOff>138112</xdr:colOff>
      <xdr:row>19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5F8EF4-243C-6CC7-86ED-CAE8B79A0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252412</xdr:colOff>
      <xdr:row>3</xdr:row>
      <xdr:rowOff>176212</xdr:rowOff>
    </xdr:from>
    <xdr:to>
      <xdr:col>22</xdr:col>
      <xdr:colOff>585787</xdr:colOff>
      <xdr:row>23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ACA0C30-47D8-B933-510E-9D1287163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252412</xdr:colOff>
      <xdr:row>4</xdr:row>
      <xdr:rowOff>147637</xdr:rowOff>
    </xdr:from>
    <xdr:to>
      <xdr:col>30</xdr:col>
      <xdr:colOff>338137</xdr:colOff>
      <xdr:row>24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3DC67E6-A45C-F51A-8847-722568CBF5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200025</xdr:colOff>
      <xdr:row>22</xdr:row>
      <xdr:rowOff>23812</xdr:rowOff>
    </xdr:from>
    <xdr:to>
      <xdr:col>5</xdr:col>
      <xdr:colOff>495300</xdr:colOff>
      <xdr:row>36</xdr:row>
      <xdr:rowOff>100012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8FADDFE-CD6E-404B-4BDF-A71B3EA8A5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26193</xdr:colOff>
      <xdr:row>0</xdr:row>
      <xdr:rowOff>11905</xdr:rowOff>
    </xdr:from>
    <xdr:to>
      <xdr:col>37</xdr:col>
      <xdr:colOff>571500</xdr:colOff>
      <xdr:row>52</xdr:row>
      <xdr:rowOff>163286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9F634EC-50E5-8CDB-4317-D0F4C60008B7}"/>
            </a:ext>
          </a:extLst>
        </xdr:cNvPr>
        <xdr:cNvSpPr/>
      </xdr:nvSpPr>
      <xdr:spPr>
        <a:xfrm>
          <a:off x="26193" y="11905"/>
          <a:ext cx="23201200" cy="1005738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260914</xdr:colOff>
      <xdr:row>23</xdr:row>
      <xdr:rowOff>122463</xdr:rowOff>
    </xdr:from>
    <xdr:to>
      <xdr:col>18</xdr:col>
      <xdr:colOff>27214</xdr:colOff>
      <xdr:row>52</xdr:row>
      <xdr:rowOff>81642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AA8C95B-F34D-4B6A-83D7-4C810EE465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97629</xdr:colOff>
      <xdr:row>23</xdr:row>
      <xdr:rowOff>95249</xdr:rowOff>
    </xdr:from>
    <xdr:to>
      <xdr:col>9</xdr:col>
      <xdr:colOff>190499</xdr:colOff>
      <xdr:row>52</xdr:row>
      <xdr:rowOff>54428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8B26D33-97E1-4DC9-A971-FA34528B13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149677</xdr:colOff>
      <xdr:row>23</xdr:row>
      <xdr:rowOff>122463</xdr:rowOff>
    </xdr:from>
    <xdr:to>
      <xdr:col>37</xdr:col>
      <xdr:colOff>476249</xdr:colOff>
      <xdr:row>52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E589842-AAB3-4697-9861-BA5711853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67015</xdr:colOff>
      <xdr:row>0</xdr:row>
      <xdr:rowOff>66333</xdr:rowOff>
    </xdr:from>
    <xdr:to>
      <xdr:col>11</xdr:col>
      <xdr:colOff>68035</xdr:colOff>
      <xdr:row>22</xdr:row>
      <xdr:rowOff>176892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CBD9F398-2683-4204-B6E2-C4973B8CC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148657</xdr:colOff>
      <xdr:row>0</xdr:row>
      <xdr:rowOff>107155</xdr:rowOff>
    </xdr:from>
    <xdr:to>
      <xdr:col>23</xdr:col>
      <xdr:colOff>530678</xdr:colOff>
      <xdr:row>22</xdr:row>
      <xdr:rowOff>176893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E78AD4B-8C2F-452B-90A3-2803D65F3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0</xdr:row>
      <xdr:rowOff>107155</xdr:rowOff>
    </xdr:from>
    <xdr:to>
      <xdr:col>37</xdr:col>
      <xdr:colOff>488836</xdr:colOff>
      <xdr:row>22</xdr:row>
      <xdr:rowOff>176893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31C1F0D5-0406-4867-AAA9-F26FCBD41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209549</xdr:colOff>
      <xdr:row>2</xdr:row>
      <xdr:rowOff>47624</xdr:rowOff>
    </xdr:from>
    <xdr:to>
      <xdr:col>30</xdr:col>
      <xdr:colOff>447674</xdr:colOff>
      <xdr:row>34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CBA32A-D790-83CF-B9D8-F4FAB8DC8E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ijah okpako" refreshedDate="45493.910743402776" createdVersion="8" refreshedVersion="8" minRefreshableVersion="3" recordCount="976" xr:uid="{726C03D8-ED39-48C1-AEA3-B810E916B88C}">
  <cacheSource type="worksheet">
    <worksheetSource name="Coffee_dataset"/>
  </cacheSource>
  <cacheFields count="10">
    <cacheField name="Sales_ID" numFmtId="0">
      <sharedItems/>
    </cacheField>
    <cacheField name="Time" numFmtId="164">
      <sharedItems containsSemiMixedTypes="0" containsNonDate="0" containsDate="1" containsString="0" minDate="1899-12-30T07:33:06" maxDate="1899-12-30T22:55:37"/>
    </cacheField>
    <cacheField name="Time_period" numFmtId="0">
      <sharedItems count="2">
        <s v="Morning"/>
        <s v="Afternoon"/>
      </sharedItems>
    </cacheField>
    <cacheField name="Payment_method" numFmtId="0">
      <sharedItems count="2">
        <s v="Card"/>
        <s v="Cash"/>
      </sharedItems>
    </cacheField>
    <cacheField name="Card_ID" numFmtId="0">
      <sharedItems/>
    </cacheField>
    <cacheField name="Sales" numFmtId="0">
      <sharedItems containsSemiMixedTypes="0" containsString="0" containsNumber="1" minValue="23.02" maxValue="40"/>
    </cacheField>
    <cacheField name="Coffee_name" numFmtId="0">
      <sharedItems count="8">
        <s v="Latte"/>
        <s v="Hot Chocolate"/>
        <s v="Americano"/>
        <s v="Americano With Milk"/>
        <s v="Cocoa"/>
        <s v="Cortado"/>
        <s v="Espresso"/>
        <s v="Cappuccino"/>
      </sharedItems>
    </cacheField>
    <cacheField name="Date" numFmtId="14">
      <sharedItems containsSemiMixedTypes="0" containsNonDate="0" containsDate="1" containsString="0" minDate="2024-03-01T00:00:00" maxDate="2024-07-18T00:00:00" count="136"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</sharedItems>
      <fieldGroup par="9"/>
    </cacheField>
    <cacheField name="Days (Date)" numFmtId="0" databaseField="0">
      <fieldGroup base="7">
        <rangePr groupBy="days" startDate="2024-03-01T00:00:00" endDate="2024-07-18T00:00:00"/>
        <groupItems count="368">
          <s v="&lt;3/1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8/2024"/>
        </groupItems>
      </fieldGroup>
    </cacheField>
    <cacheField name="Months (Date)" numFmtId="0" databaseField="0">
      <fieldGroup base="7">
        <rangePr groupBy="months" startDate="2024-03-01T00:00:00" endDate="2024-07-18T00:00:00"/>
        <groupItems count="14">
          <s v="&lt;3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18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6">
  <r>
    <s v="20012"/>
    <d v="1899-12-30T10:15:51"/>
    <x v="0"/>
    <x v="0"/>
    <s v="0001"/>
    <n v="38.700000000000003"/>
    <x v="0"/>
    <x v="0"/>
  </r>
  <r>
    <s v="20013"/>
    <d v="1899-12-30T12:19:23"/>
    <x v="1"/>
    <x v="0"/>
    <s v="0002"/>
    <n v="38.700000000000003"/>
    <x v="1"/>
    <x v="0"/>
  </r>
  <r>
    <s v="20014"/>
    <d v="1899-12-30T12:20:18"/>
    <x v="1"/>
    <x v="0"/>
    <s v="0002"/>
    <n v="38.700000000000003"/>
    <x v="1"/>
    <x v="0"/>
  </r>
  <r>
    <s v="20015"/>
    <d v="1899-12-30T13:46:33"/>
    <x v="1"/>
    <x v="0"/>
    <s v="0003"/>
    <n v="28.9"/>
    <x v="2"/>
    <x v="0"/>
  </r>
  <r>
    <s v="20016"/>
    <d v="1899-12-30T13:48:15"/>
    <x v="1"/>
    <x v="0"/>
    <s v="0004"/>
    <n v="38.700000000000003"/>
    <x v="0"/>
    <x v="0"/>
  </r>
  <r>
    <s v="20017"/>
    <d v="1899-12-30T15:39:48"/>
    <x v="1"/>
    <x v="0"/>
    <s v="0005"/>
    <n v="33.799999999999997"/>
    <x v="3"/>
    <x v="0"/>
  </r>
  <r>
    <s v="20018"/>
    <d v="1899-12-30T16:19:03"/>
    <x v="1"/>
    <x v="0"/>
    <s v="0006"/>
    <n v="38.700000000000003"/>
    <x v="1"/>
    <x v="0"/>
  </r>
  <r>
    <s v="20019"/>
    <d v="1899-12-30T18:39:04"/>
    <x v="1"/>
    <x v="0"/>
    <s v="0007"/>
    <n v="33.799999999999997"/>
    <x v="3"/>
    <x v="0"/>
  </r>
  <r>
    <s v="20020"/>
    <d v="1899-12-30T19:22:02"/>
    <x v="1"/>
    <x v="0"/>
    <s v="0008"/>
    <n v="38.700000000000003"/>
    <x v="4"/>
    <x v="0"/>
  </r>
  <r>
    <s v="20021"/>
    <d v="1899-12-30T19:23:16"/>
    <x v="1"/>
    <x v="0"/>
    <s v="0008"/>
    <n v="33.799999999999997"/>
    <x v="3"/>
    <x v="0"/>
  </r>
  <r>
    <s v="20022"/>
    <d v="1899-12-30T19:29:17"/>
    <x v="1"/>
    <x v="0"/>
    <s v="0009"/>
    <n v="33.799999999999997"/>
    <x v="3"/>
    <x v="0"/>
  </r>
  <r>
    <s v="20023"/>
    <d v="1899-12-30T10:22:07"/>
    <x v="0"/>
    <x v="0"/>
    <s v="0010"/>
    <n v="28.9"/>
    <x v="2"/>
    <x v="1"/>
  </r>
  <r>
    <s v="20024"/>
    <d v="1899-12-30T10:30:36"/>
    <x v="0"/>
    <x v="1"/>
    <s v="Cash"/>
    <n v="40"/>
    <x v="0"/>
    <x v="1"/>
  </r>
  <r>
    <s v="20025"/>
    <d v="1899-12-30T10:41:41"/>
    <x v="0"/>
    <x v="0"/>
    <s v="0011"/>
    <n v="33.799999999999997"/>
    <x v="3"/>
    <x v="1"/>
  </r>
  <r>
    <s v="20026"/>
    <d v="1899-12-30T11:59:45"/>
    <x v="0"/>
    <x v="0"/>
    <s v="0012"/>
    <n v="33.799999999999997"/>
    <x v="3"/>
    <x v="1"/>
  </r>
  <r>
    <s v="20027"/>
    <d v="1899-12-30T14:38:36"/>
    <x v="1"/>
    <x v="0"/>
    <s v="0013"/>
    <n v="28.9"/>
    <x v="2"/>
    <x v="1"/>
  </r>
  <r>
    <s v="20028"/>
    <d v="1899-12-30T16:37:24"/>
    <x v="1"/>
    <x v="0"/>
    <s v="0014"/>
    <n v="33.799999999999997"/>
    <x v="3"/>
    <x v="1"/>
  </r>
  <r>
    <s v="20029"/>
    <d v="1899-12-30T17:34:55"/>
    <x v="1"/>
    <x v="0"/>
    <s v="0004"/>
    <n v="28.9"/>
    <x v="2"/>
    <x v="1"/>
  </r>
  <r>
    <s v="20030"/>
    <d v="1899-12-30T10:10:44"/>
    <x v="0"/>
    <x v="1"/>
    <s v="Cash"/>
    <n v="40"/>
    <x v="0"/>
    <x v="2"/>
  </r>
  <r>
    <s v="20031"/>
    <d v="1899-12-30T10:27:19"/>
    <x v="0"/>
    <x v="0"/>
    <s v="0015"/>
    <n v="38.700000000000003"/>
    <x v="0"/>
    <x v="2"/>
  </r>
  <r>
    <s v="20032"/>
    <d v="1899-12-30T11:33:56"/>
    <x v="0"/>
    <x v="0"/>
    <s v="0016"/>
    <n v="28.9"/>
    <x v="5"/>
    <x v="2"/>
  </r>
  <r>
    <s v="20033"/>
    <d v="1899-12-30T12:26:56"/>
    <x v="1"/>
    <x v="0"/>
    <s v="0012"/>
    <n v="28.9"/>
    <x v="2"/>
    <x v="2"/>
  </r>
  <r>
    <s v="20034"/>
    <d v="1899-12-30T13:09:36"/>
    <x v="1"/>
    <x v="0"/>
    <s v="0017"/>
    <n v="38.700000000000003"/>
    <x v="1"/>
    <x v="2"/>
  </r>
  <r>
    <s v="20035"/>
    <d v="1899-12-30T17:06:40"/>
    <x v="1"/>
    <x v="0"/>
    <s v="0018"/>
    <n v="38.700000000000003"/>
    <x v="4"/>
    <x v="2"/>
  </r>
  <r>
    <s v="20036"/>
    <d v="1899-12-30T17:08:46"/>
    <x v="1"/>
    <x v="0"/>
    <s v="0019"/>
    <n v="28.9"/>
    <x v="5"/>
    <x v="2"/>
  </r>
  <r>
    <s v="20037"/>
    <d v="1899-12-30T18:03:23"/>
    <x v="1"/>
    <x v="0"/>
    <s v="0020"/>
    <n v="33.799999999999997"/>
    <x v="3"/>
    <x v="2"/>
  </r>
  <r>
    <s v="20038"/>
    <d v="1899-12-30T18:04:28"/>
    <x v="1"/>
    <x v="0"/>
    <s v="0020"/>
    <n v="33.799999999999997"/>
    <x v="3"/>
    <x v="2"/>
  </r>
  <r>
    <s v="20039"/>
    <d v="1899-12-30T18:08:05"/>
    <x v="1"/>
    <x v="0"/>
    <s v="0020"/>
    <n v="38.700000000000003"/>
    <x v="1"/>
    <x v="2"/>
  </r>
  <r>
    <s v="20040"/>
    <d v="1899-12-30T10:03:52"/>
    <x v="0"/>
    <x v="0"/>
    <s v="0001"/>
    <n v="38.700000000000003"/>
    <x v="0"/>
    <x v="3"/>
  </r>
  <r>
    <s v="20041"/>
    <d v="1899-12-30T10:54:51"/>
    <x v="0"/>
    <x v="0"/>
    <s v="0021"/>
    <n v="38.700000000000003"/>
    <x v="0"/>
    <x v="3"/>
  </r>
  <r>
    <s v="20042"/>
    <d v="1899-12-30T11:05:16"/>
    <x v="0"/>
    <x v="0"/>
    <s v="0012"/>
    <n v="33.799999999999997"/>
    <x v="3"/>
    <x v="3"/>
  </r>
  <r>
    <s v="20043"/>
    <d v="1899-12-30T14:04:38"/>
    <x v="1"/>
    <x v="0"/>
    <s v="0022"/>
    <n v="24"/>
    <x v="6"/>
    <x v="3"/>
  </r>
  <r>
    <s v="20044"/>
    <d v="1899-12-30T09:59:53"/>
    <x v="0"/>
    <x v="0"/>
    <s v="0001"/>
    <n v="38.700000000000003"/>
    <x v="0"/>
    <x v="4"/>
  </r>
  <r>
    <s v="20045"/>
    <d v="1899-12-30T14:34:56"/>
    <x v="1"/>
    <x v="0"/>
    <s v="0023"/>
    <n v="38.700000000000003"/>
    <x v="0"/>
    <x v="4"/>
  </r>
  <r>
    <s v="20046"/>
    <d v="1899-12-30T17:34:06"/>
    <x v="1"/>
    <x v="0"/>
    <s v="0024"/>
    <n v="38.700000000000003"/>
    <x v="0"/>
    <x v="4"/>
  </r>
  <r>
    <s v="20047"/>
    <d v="1899-12-30T17:35:25"/>
    <x v="1"/>
    <x v="0"/>
    <s v="0025"/>
    <n v="38.700000000000003"/>
    <x v="1"/>
    <x v="4"/>
  </r>
  <r>
    <s v="20048"/>
    <d v="1899-12-30T17:36:29"/>
    <x v="1"/>
    <x v="0"/>
    <s v="0026"/>
    <n v="38.700000000000003"/>
    <x v="4"/>
    <x v="4"/>
  </r>
  <r>
    <s v="20049"/>
    <d v="1899-12-30T17:37:14"/>
    <x v="1"/>
    <x v="0"/>
    <s v="0027"/>
    <n v="38.700000000000003"/>
    <x v="1"/>
    <x v="4"/>
  </r>
  <r>
    <s v="20050"/>
    <d v="1899-12-30T17:38:09"/>
    <x v="1"/>
    <x v="0"/>
    <s v="0009"/>
    <n v="38.700000000000003"/>
    <x v="1"/>
    <x v="4"/>
  </r>
  <r>
    <s v="20051"/>
    <d v="1899-12-30T17:56:16"/>
    <x v="1"/>
    <x v="0"/>
    <s v="0028"/>
    <n v="28.9"/>
    <x v="5"/>
    <x v="4"/>
  </r>
  <r>
    <s v="20052"/>
    <d v="1899-12-30T18:01:31"/>
    <x v="1"/>
    <x v="0"/>
    <s v="0028"/>
    <n v="38.700000000000003"/>
    <x v="1"/>
    <x v="4"/>
  </r>
  <r>
    <s v="20053"/>
    <d v="1899-12-30T12:30:27"/>
    <x v="1"/>
    <x v="1"/>
    <s v="Cash"/>
    <n v="35"/>
    <x v="3"/>
    <x v="5"/>
  </r>
  <r>
    <s v="20054"/>
    <d v="1899-12-30T13:24:08"/>
    <x v="1"/>
    <x v="0"/>
    <s v="0012"/>
    <n v="28.9"/>
    <x v="2"/>
    <x v="5"/>
  </r>
  <r>
    <s v="20055"/>
    <d v="1899-12-30T13:25:14"/>
    <x v="1"/>
    <x v="0"/>
    <s v="0012"/>
    <n v="28.9"/>
    <x v="5"/>
    <x v="5"/>
  </r>
  <r>
    <s v="20056"/>
    <d v="1899-12-30T14:52:02"/>
    <x v="1"/>
    <x v="0"/>
    <s v="0029"/>
    <n v="38.700000000000003"/>
    <x v="7"/>
    <x v="5"/>
  </r>
  <r>
    <s v="20057"/>
    <d v="1899-12-30T14:53:18"/>
    <x v="1"/>
    <x v="0"/>
    <s v="0029"/>
    <n v="38.700000000000003"/>
    <x v="7"/>
    <x v="5"/>
  </r>
  <r>
    <s v="20058"/>
    <d v="1899-12-30T10:08:59"/>
    <x v="0"/>
    <x v="1"/>
    <s v="Cash"/>
    <n v="40"/>
    <x v="0"/>
    <x v="6"/>
  </r>
  <r>
    <s v="20059"/>
    <d v="1899-12-30T10:18:41"/>
    <x v="0"/>
    <x v="0"/>
    <s v="0030"/>
    <n v="38.700000000000003"/>
    <x v="1"/>
    <x v="6"/>
  </r>
  <r>
    <s v="20060"/>
    <d v="1899-12-30T11:03:59"/>
    <x v="0"/>
    <x v="0"/>
    <s v="0031"/>
    <n v="38.700000000000003"/>
    <x v="0"/>
    <x v="6"/>
  </r>
  <r>
    <s v="20061"/>
    <d v="1899-12-30T11:25:44"/>
    <x v="0"/>
    <x v="1"/>
    <s v="Cash"/>
    <n v="40"/>
    <x v="0"/>
    <x v="6"/>
  </r>
  <r>
    <s v="20062"/>
    <d v="1899-12-30T15:40:23"/>
    <x v="1"/>
    <x v="0"/>
    <s v="0032"/>
    <n v="28.9"/>
    <x v="2"/>
    <x v="6"/>
  </r>
  <r>
    <s v="20063"/>
    <d v="1899-12-30T15:41:29"/>
    <x v="1"/>
    <x v="0"/>
    <s v="0033"/>
    <n v="33.799999999999997"/>
    <x v="3"/>
    <x v="6"/>
  </r>
  <r>
    <s v="20064"/>
    <d v="1899-12-30T10:34:41"/>
    <x v="0"/>
    <x v="0"/>
    <s v="0012"/>
    <n v="28.9"/>
    <x v="5"/>
    <x v="7"/>
  </r>
  <r>
    <s v="20065"/>
    <d v="1899-12-30T12:22:29"/>
    <x v="1"/>
    <x v="0"/>
    <s v="0034"/>
    <n v="38.700000000000003"/>
    <x v="7"/>
    <x v="7"/>
  </r>
  <r>
    <s v="20066"/>
    <d v="1899-12-30T13:53:02"/>
    <x v="1"/>
    <x v="0"/>
    <s v="0035"/>
    <n v="28.9"/>
    <x v="2"/>
    <x v="7"/>
  </r>
  <r>
    <s v="20067"/>
    <d v="1899-12-30T14:44:13"/>
    <x v="1"/>
    <x v="0"/>
    <s v="0012"/>
    <n v="28.9"/>
    <x v="2"/>
    <x v="7"/>
  </r>
  <r>
    <s v="20068"/>
    <d v="1899-12-30T14:45:11"/>
    <x v="1"/>
    <x v="0"/>
    <s v="0033"/>
    <n v="28.9"/>
    <x v="2"/>
    <x v="7"/>
  </r>
  <r>
    <s v="20069"/>
    <d v="1899-12-30T14:46:11"/>
    <x v="1"/>
    <x v="0"/>
    <s v="0012"/>
    <n v="33.799999999999997"/>
    <x v="3"/>
    <x v="7"/>
  </r>
  <r>
    <s v="20070"/>
    <d v="1899-12-30T18:57:51"/>
    <x v="1"/>
    <x v="0"/>
    <s v="0036"/>
    <n v="38.700000000000003"/>
    <x v="0"/>
    <x v="7"/>
  </r>
  <r>
    <s v="20071"/>
    <d v="1899-12-30T18:59:25"/>
    <x v="1"/>
    <x v="0"/>
    <s v="0037"/>
    <n v="38.700000000000003"/>
    <x v="0"/>
    <x v="7"/>
  </r>
  <r>
    <s v="20072"/>
    <d v="1899-12-30T11:49:37"/>
    <x v="0"/>
    <x v="1"/>
    <s v="Cash"/>
    <n v="40"/>
    <x v="1"/>
    <x v="8"/>
  </r>
  <r>
    <s v="20073"/>
    <d v="1899-12-30T12:05:16"/>
    <x v="1"/>
    <x v="0"/>
    <s v="0038"/>
    <n v="24"/>
    <x v="6"/>
    <x v="8"/>
  </r>
  <r>
    <s v="20074"/>
    <d v="1899-12-30T12:07:38"/>
    <x v="1"/>
    <x v="0"/>
    <s v="0039"/>
    <n v="28.9"/>
    <x v="2"/>
    <x v="8"/>
  </r>
  <r>
    <s v="20075"/>
    <d v="1899-12-30T12:09:48"/>
    <x v="1"/>
    <x v="0"/>
    <s v="0012"/>
    <n v="38.700000000000003"/>
    <x v="7"/>
    <x v="8"/>
  </r>
  <r>
    <s v="20076"/>
    <d v="1899-12-30T12:13:04"/>
    <x v="1"/>
    <x v="0"/>
    <s v="0040"/>
    <n v="28.9"/>
    <x v="2"/>
    <x v="8"/>
  </r>
  <r>
    <s v="20077"/>
    <d v="1899-12-30T12:14:26"/>
    <x v="1"/>
    <x v="0"/>
    <s v="0040"/>
    <n v="28.9"/>
    <x v="2"/>
    <x v="8"/>
  </r>
  <r>
    <s v="20078"/>
    <d v="1899-12-30T13:09:22"/>
    <x v="1"/>
    <x v="0"/>
    <s v="0041"/>
    <n v="38.700000000000003"/>
    <x v="0"/>
    <x v="8"/>
  </r>
  <r>
    <s v="20079"/>
    <d v="1899-12-30T13:41:06"/>
    <x v="1"/>
    <x v="0"/>
    <s v="0042"/>
    <n v="33.799999999999997"/>
    <x v="3"/>
    <x v="8"/>
  </r>
  <r>
    <s v="20080"/>
    <d v="1899-12-30T13:53:10"/>
    <x v="1"/>
    <x v="0"/>
    <s v="0043"/>
    <n v="28.9"/>
    <x v="5"/>
    <x v="8"/>
  </r>
  <r>
    <s v="20081"/>
    <d v="1899-12-30T13:54:37"/>
    <x v="1"/>
    <x v="0"/>
    <s v="0043"/>
    <n v="38.700000000000003"/>
    <x v="7"/>
    <x v="8"/>
  </r>
  <r>
    <s v="20082"/>
    <d v="1899-12-30T14:08:02"/>
    <x v="1"/>
    <x v="0"/>
    <s v="0009"/>
    <n v="33.799999999999997"/>
    <x v="3"/>
    <x v="8"/>
  </r>
  <r>
    <s v="20083"/>
    <d v="1899-12-30T14:26:53"/>
    <x v="1"/>
    <x v="0"/>
    <s v="0044"/>
    <n v="38.700000000000003"/>
    <x v="1"/>
    <x v="8"/>
  </r>
  <r>
    <s v="20084"/>
    <d v="1899-12-30T19:17:58"/>
    <x v="1"/>
    <x v="0"/>
    <s v="0009"/>
    <n v="38.700000000000003"/>
    <x v="7"/>
    <x v="8"/>
  </r>
  <r>
    <s v="20085"/>
    <d v="1899-12-30T19:19:10"/>
    <x v="1"/>
    <x v="0"/>
    <s v="0009"/>
    <n v="38.700000000000003"/>
    <x v="1"/>
    <x v="8"/>
  </r>
  <r>
    <s v="20086"/>
    <d v="1899-12-30T07:44:19"/>
    <x v="0"/>
    <x v="1"/>
    <s v="Cash"/>
    <n v="30"/>
    <x v="2"/>
    <x v="9"/>
  </r>
  <r>
    <s v="20087"/>
    <d v="1899-12-30T07:45:29"/>
    <x v="0"/>
    <x v="1"/>
    <s v="Cash"/>
    <n v="35"/>
    <x v="3"/>
    <x v="9"/>
  </r>
  <r>
    <s v="20088"/>
    <d v="1899-12-30T10:06:03"/>
    <x v="0"/>
    <x v="1"/>
    <s v="Cash"/>
    <n v="40"/>
    <x v="0"/>
    <x v="9"/>
  </r>
  <r>
    <s v="20089"/>
    <d v="1899-12-30T11:19:21"/>
    <x v="0"/>
    <x v="0"/>
    <s v="0045"/>
    <n v="24"/>
    <x v="6"/>
    <x v="9"/>
  </r>
  <r>
    <s v="20090"/>
    <d v="1899-12-30T17:51:03"/>
    <x v="1"/>
    <x v="1"/>
    <s v="Cash"/>
    <n v="35"/>
    <x v="3"/>
    <x v="9"/>
  </r>
  <r>
    <s v="20091"/>
    <d v="1899-12-30T19:34:00"/>
    <x v="1"/>
    <x v="0"/>
    <s v="0046"/>
    <n v="38.700000000000003"/>
    <x v="0"/>
    <x v="9"/>
  </r>
  <r>
    <s v="20092"/>
    <d v="1899-12-30T19:35:55"/>
    <x v="1"/>
    <x v="0"/>
    <s v="0046"/>
    <n v="28.9"/>
    <x v="5"/>
    <x v="9"/>
  </r>
  <r>
    <s v="20093"/>
    <d v="1899-12-30T10:18:47"/>
    <x v="0"/>
    <x v="1"/>
    <s v="Cash"/>
    <n v="40"/>
    <x v="0"/>
    <x v="10"/>
  </r>
  <r>
    <s v="20094"/>
    <d v="1899-12-30T11:24:15"/>
    <x v="0"/>
    <x v="1"/>
    <s v="Cash"/>
    <n v="40"/>
    <x v="7"/>
    <x v="10"/>
  </r>
  <r>
    <s v="20095"/>
    <d v="1899-12-30T11:24:52"/>
    <x v="0"/>
    <x v="1"/>
    <s v="Cash"/>
    <n v="30"/>
    <x v="5"/>
    <x v="10"/>
  </r>
  <r>
    <s v="20096"/>
    <d v="1899-12-30T11:26:44"/>
    <x v="0"/>
    <x v="1"/>
    <s v="Cash"/>
    <n v="30"/>
    <x v="2"/>
    <x v="10"/>
  </r>
  <r>
    <s v="20097"/>
    <d v="1899-12-30T11:32:59"/>
    <x v="0"/>
    <x v="0"/>
    <s v="0035"/>
    <n v="38.700000000000003"/>
    <x v="7"/>
    <x v="10"/>
  </r>
  <r>
    <s v="20098"/>
    <d v="1899-12-30T16:24:26"/>
    <x v="1"/>
    <x v="0"/>
    <s v="0047"/>
    <n v="28.9"/>
    <x v="2"/>
    <x v="10"/>
  </r>
  <r>
    <s v="20099"/>
    <d v="1899-12-30T16:25:46"/>
    <x v="1"/>
    <x v="0"/>
    <s v="0047"/>
    <n v="38.700000000000003"/>
    <x v="0"/>
    <x v="10"/>
  </r>
  <r>
    <s v="20100"/>
    <d v="1899-12-30T16:50:50"/>
    <x v="1"/>
    <x v="0"/>
    <s v="0048"/>
    <n v="28.9"/>
    <x v="5"/>
    <x v="10"/>
  </r>
  <r>
    <s v="20101"/>
    <d v="1899-12-30T10:15:00"/>
    <x v="0"/>
    <x v="1"/>
    <s v="Cash"/>
    <n v="40"/>
    <x v="0"/>
    <x v="11"/>
  </r>
  <r>
    <s v="20102"/>
    <d v="1899-12-30T10:15:35"/>
    <x v="0"/>
    <x v="0"/>
    <s v="0033"/>
    <n v="28.9"/>
    <x v="2"/>
    <x v="11"/>
  </r>
  <r>
    <s v="20103"/>
    <d v="1899-12-30T10:16:25"/>
    <x v="0"/>
    <x v="0"/>
    <s v="0033"/>
    <n v="28.9"/>
    <x v="5"/>
    <x v="11"/>
  </r>
  <r>
    <s v="20104"/>
    <d v="1899-12-30T11:20:46"/>
    <x v="0"/>
    <x v="0"/>
    <s v="0049"/>
    <n v="38.700000000000003"/>
    <x v="1"/>
    <x v="11"/>
  </r>
  <r>
    <s v="20105"/>
    <d v="1899-12-30T12:46:23"/>
    <x v="1"/>
    <x v="0"/>
    <s v="0004"/>
    <n v="33.799999999999997"/>
    <x v="3"/>
    <x v="11"/>
  </r>
  <r>
    <s v="20106"/>
    <d v="1899-12-30T12:47:26"/>
    <x v="1"/>
    <x v="0"/>
    <s v="0004"/>
    <n v="28.9"/>
    <x v="2"/>
    <x v="11"/>
  </r>
  <r>
    <s v="20107"/>
    <d v="1899-12-30T16:15:43"/>
    <x v="1"/>
    <x v="0"/>
    <s v="0050"/>
    <n v="28.9"/>
    <x v="2"/>
    <x v="11"/>
  </r>
  <r>
    <s v="20108"/>
    <d v="1899-12-30T11:06:43"/>
    <x v="0"/>
    <x v="0"/>
    <s v="0048"/>
    <n v="38.700000000000003"/>
    <x v="1"/>
    <x v="12"/>
  </r>
  <r>
    <s v="20109"/>
    <d v="1899-12-30T11:48:17"/>
    <x v="0"/>
    <x v="0"/>
    <s v="0004"/>
    <n v="28.9"/>
    <x v="2"/>
    <x v="12"/>
  </r>
  <r>
    <s v="20110"/>
    <d v="1899-12-30T12:18:06"/>
    <x v="1"/>
    <x v="0"/>
    <s v="0051"/>
    <n v="28.9"/>
    <x v="2"/>
    <x v="12"/>
  </r>
  <r>
    <s v="20111"/>
    <d v="1899-12-30T12:19:05"/>
    <x v="1"/>
    <x v="0"/>
    <s v="0051"/>
    <n v="28.9"/>
    <x v="2"/>
    <x v="12"/>
  </r>
  <r>
    <s v="20112"/>
    <d v="1899-12-30T12:34:30"/>
    <x v="1"/>
    <x v="1"/>
    <s v="Cash"/>
    <n v="25"/>
    <x v="6"/>
    <x v="12"/>
  </r>
  <r>
    <s v="20113"/>
    <d v="1899-12-30T14:26:41"/>
    <x v="1"/>
    <x v="0"/>
    <s v="0052"/>
    <n v="33.799999999999997"/>
    <x v="3"/>
    <x v="12"/>
  </r>
  <r>
    <s v="20114"/>
    <d v="1899-12-30T15:40:22"/>
    <x v="1"/>
    <x v="0"/>
    <s v="0053"/>
    <n v="24"/>
    <x v="6"/>
    <x v="12"/>
  </r>
  <r>
    <s v="20115"/>
    <d v="1899-12-30T15:41:20"/>
    <x v="1"/>
    <x v="0"/>
    <s v="0053"/>
    <n v="24"/>
    <x v="6"/>
    <x v="12"/>
  </r>
  <r>
    <s v="20116"/>
    <d v="1899-12-30T16:47:09"/>
    <x v="1"/>
    <x v="0"/>
    <s v="0054"/>
    <n v="24"/>
    <x v="6"/>
    <x v="12"/>
  </r>
  <r>
    <s v="20117"/>
    <d v="1899-12-30T10:02:12"/>
    <x v="0"/>
    <x v="1"/>
    <s v="Cash"/>
    <n v="40"/>
    <x v="0"/>
    <x v="13"/>
  </r>
  <r>
    <s v="20118"/>
    <d v="1899-12-30T10:28:33"/>
    <x v="0"/>
    <x v="0"/>
    <s v="0055"/>
    <n v="38.700000000000003"/>
    <x v="0"/>
    <x v="13"/>
  </r>
  <r>
    <s v="20119"/>
    <d v="1899-12-30T10:29:34"/>
    <x v="0"/>
    <x v="0"/>
    <s v="0055"/>
    <n v="38.700000000000003"/>
    <x v="1"/>
    <x v="13"/>
  </r>
  <r>
    <s v="20120"/>
    <d v="1899-12-30T13:27:30"/>
    <x v="1"/>
    <x v="0"/>
    <s v="0012"/>
    <n v="28.9"/>
    <x v="5"/>
    <x v="13"/>
  </r>
  <r>
    <s v="20121"/>
    <d v="1899-12-30T13:28:25"/>
    <x v="1"/>
    <x v="0"/>
    <s v="0012"/>
    <n v="28.9"/>
    <x v="2"/>
    <x v="13"/>
  </r>
  <r>
    <s v="20122"/>
    <d v="1899-12-30T13:52:00"/>
    <x v="1"/>
    <x v="0"/>
    <s v="0056"/>
    <n v="33.799999999999997"/>
    <x v="3"/>
    <x v="13"/>
  </r>
  <r>
    <s v="20123"/>
    <d v="1899-12-30T13:52:56"/>
    <x v="1"/>
    <x v="0"/>
    <s v="0057"/>
    <n v="24"/>
    <x v="6"/>
    <x v="13"/>
  </r>
  <r>
    <s v="20124"/>
    <d v="1899-12-30T15:20:38"/>
    <x v="1"/>
    <x v="0"/>
    <s v="0058"/>
    <n v="38.700000000000003"/>
    <x v="0"/>
    <x v="13"/>
  </r>
  <r>
    <s v="20125"/>
    <d v="1899-12-30T16:04:10"/>
    <x v="1"/>
    <x v="0"/>
    <s v="0059"/>
    <n v="33.799999999999997"/>
    <x v="3"/>
    <x v="13"/>
  </r>
  <r>
    <s v="20126"/>
    <d v="1899-12-30T16:54:38"/>
    <x v="1"/>
    <x v="0"/>
    <s v="0050"/>
    <n v="24"/>
    <x v="6"/>
    <x v="13"/>
  </r>
  <r>
    <s v="20127"/>
    <d v="1899-12-30T18:58:56"/>
    <x v="1"/>
    <x v="0"/>
    <s v="0019"/>
    <n v="38.700000000000003"/>
    <x v="1"/>
    <x v="13"/>
  </r>
  <r>
    <s v="20128"/>
    <d v="1899-12-30T19:00:09"/>
    <x v="1"/>
    <x v="0"/>
    <s v="0012"/>
    <n v="28.9"/>
    <x v="5"/>
    <x v="13"/>
  </r>
  <r>
    <s v="20129"/>
    <d v="1899-12-30T10:02:17"/>
    <x v="0"/>
    <x v="1"/>
    <s v="Cash"/>
    <n v="40"/>
    <x v="0"/>
    <x v="14"/>
  </r>
  <r>
    <s v="20130"/>
    <d v="1899-12-30T10:53:02"/>
    <x v="0"/>
    <x v="0"/>
    <s v="0060"/>
    <n v="38.700000000000003"/>
    <x v="1"/>
    <x v="14"/>
  </r>
  <r>
    <s v="20131"/>
    <d v="1899-12-30T18:19:28"/>
    <x v="1"/>
    <x v="0"/>
    <s v="0012"/>
    <n v="28.9"/>
    <x v="2"/>
    <x v="14"/>
  </r>
  <r>
    <s v="20132"/>
    <d v="1899-12-30T12:06:55"/>
    <x v="1"/>
    <x v="0"/>
    <s v="0061"/>
    <n v="33.799999999999997"/>
    <x v="3"/>
    <x v="15"/>
  </r>
  <r>
    <s v="20133"/>
    <d v="1899-12-30T12:07:54"/>
    <x v="1"/>
    <x v="0"/>
    <s v="0061"/>
    <n v="28.9"/>
    <x v="2"/>
    <x v="15"/>
  </r>
  <r>
    <s v="20134"/>
    <d v="1899-12-30T15:58:18"/>
    <x v="1"/>
    <x v="0"/>
    <s v="0009"/>
    <n v="28.9"/>
    <x v="5"/>
    <x v="15"/>
  </r>
  <r>
    <s v="20135"/>
    <d v="1899-12-30T16:03:22"/>
    <x v="1"/>
    <x v="0"/>
    <s v="0009"/>
    <n v="28.9"/>
    <x v="5"/>
    <x v="15"/>
  </r>
  <r>
    <s v="20136"/>
    <d v="1899-12-30T16:04:11"/>
    <x v="1"/>
    <x v="0"/>
    <s v="0012"/>
    <n v="28.9"/>
    <x v="5"/>
    <x v="15"/>
  </r>
  <r>
    <s v="20137"/>
    <d v="1899-12-30T17:58:07"/>
    <x v="1"/>
    <x v="0"/>
    <s v="0062"/>
    <n v="33.799999999999997"/>
    <x v="3"/>
    <x v="15"/>
  </r>
  <r>
    <s v="20138"/>
    <d v="1899-12-30T10:10:21"/>
    <x v="0"/>
    <x v="1"/>
    <s v="Cash"/>
    <n v="40"/>
    <x v="0"/>
    <x v="16"/>
  </r>
  <r>
    <s v="20139"/>
    <d v="1899-12-30T12:55:26"/>
    <x v="1"/>
    <x v="0"/>
    <s v="0063"/>
    <n v="28.9"/>
    <x v="5"/>
    <x v="16"/>
  </r>
  <r>
    <s v="20140"/>
    <d v="1899-12-30T11:18:00"/>
    <x v="0"/>
    <x v="0"/>
    <s v="0064"/>
    <n v="28.9"/>
    <x v="5"/>
    <x v="17"/>
  </r>
  <r>
    <s v="20141"/>
    <d v="1899-12-30T15:31:40"/>
    <x v="1"/>
    <x v="0"/>
    <s v="0003"/>
    <n v="28.9"/>
    <x v="2"/>
    <x v="17"/>
  </r>
  <r>
    <s v="20142"/>
    <d v="1899-12-30T15:32:38"/>
    <x v="1"/>
    <x v="0"/>
    <s v="0003"/>
    <n v="28.9"/>
    <x v="2"/>
    <x v="17"/>
  </r>
  <r>
    <s v="20143"/>
    <d v="1899-12-30T15:33:37"/>
    <x v="1"/>
    <x v="0"/>
    <s v="0003"/>
    <n v="28.9"/>
    <x v="2"/>
    <x v="17"/>
  </r>
  <r>
    <s v="20144"/>
    <d v="1899-12-30T10:20:26"/>
    <x v="0"/>
    <x v="1"/>
    <s v="Cash"/>
    <n v="30"/>
    <x v="5"/>
    <x v="18"/>
  </r>
  <r>
    <s v="20145"/>
    <d v="1899-12-30T14:02:22"/>
    <x v="1"/>
    <x v="0"/>
    <s v="0065"/>
    <n v="38.700000000000003"/>
    <x v="0"/>
    <x v="18"/>
  </r>
  <r>
    <s v="20146"/>
    <d v="1899-12-30T14:03:20"/>
    <x v="1"/>
    <x v="0"/>
    <s v="0065"/>
    <n v="38.700000000000003"/>
    <x v="0"/>
    <x v="18"/>
  </r>
  <r>
    <s v="20147"/>
    <d v="1899-12-30T15:04:36"/>
    <x v="1"/>
    <x v="0"/>
    <s v="0049"/>
    <n v="38.700000000000003"/>
    <x v="1"/>
    <x v="18"/>
  </r>
  <r>
    <s v="20148"/>
    <d v="1899-12-30T16:53:49"/>
    <x v="1"/>
    <x v="0"/>
    <s v="0066"/>
    <n v="33.799999999999997"/>
    <x v="3"/>
    <x v="18"/>
  </r>
  <r>
    <s v="20149"/>
    <d v="1899-12-30T19:26:33"/>
    <x v="1"/>
    <x v="1"/>
    <s v="Cash"/>
    <n v="40"/>
    <x v="1"/>
    <x v="18"/>
  </r>
  <r>
    <s v="20150"/>
    <d v="1899-12-30T11:41:16"/>
    <x v="0"/>
    <x v="0"/>
    <s v="0012"/>
    <n v="28.9"/>
    <x v="5"/>
    <x v="19"/>
  </r>
  <r>
    <s v="20151"/>
    <d v="1899-12-30T12:21:08"/>
    <x v="1"/>
    <x v="1"/>
    <s v="Cash"/>
    <n v="40"/>
    <x v="0"/>
    <x v="19"/>
  </r>
  <r>
    <s v="20152"/>
    <d v="1899-12-30T12:30:49"/>
    <x v="1"/>
    <x v="0"/>
    <s v="0049"/>
    <n v="28.9"/>
    <x v="5"/>
    <x v="19"/>
  </r>
  <r>
    <s v="20153"/>
    <d v="1899-12-30T13:16:47"/>
    <x v="1"/>
    <x v="0"/>
    <s v="0067"/>
    <n v="38.700000000000003"/>
    <x v="7"/>
    <x v="19"/>
  </r>
  <r>
    <s v="20154"/>
    <d v="1899-12-30T16:42:38"/>
    <x v="1"/>
    <x v="0"/>
    <s v="0050"/>
    <n v="38.700000000000003"/>
    <x v="4"/>
    <x v="19"/>
  </r>
  <r>
    <s v="20155"/>
    <d v="1899-12-30T17:50:29"/>
    <x v="1"/>
    <x v="0"/>
    <s v="0068"/>
    <n v="38.700000000000003"/>
    <x v="0"/>
    <x v="19"/>
  </r>
  <r>
    <s v="20156"/>
    <d v="1899-12-30T10:18:57"/>
    <x v="0"/>
    <x v="1"/>
    <s v="Cash"/>
    <n v="40"/>
    <x v="7"/>
    <x v="20"/>
  </r>
  <r>
    <s v="20157"/>
    <d v="1899-12-30T12:25:09"/>
    <x v="1"/>
    <x v="0"/>
    <s v="0012"/>
    <n v="28.9"/>
    <x v="5"/>
    <x v="20"/>
  </r>
  <r>
    <s v="20158"/>
    <d v="1899-12-30T12:26:17"/>
    <x v="1"/>
    <x v="0"/>
    <s v="0012"/>
    <n v="38.700000000000003"/>
    <x v="7"/>
    <x v="20"/>
  </r>
  <r>
    <s v="20159"/>
    <d v="1899-12-30T17:21:01"/>
    <x v="1"/>
    <x v="1"/>
    <s v="Cash"/>
    <n v="30"/>
    <x v="2"/>
    <x v="20"/>
  </r>
  <r>
    <s v="20160"/>
    <d v="1899-12-30T17:22:01"/>
    <x v="1"/>
    <x v="0"/>
    <s v="0012"/>
    <n v="28.9"/>
    <x v="5"/>
    <x v="20"/>
  </r>
  <r>
    <s v="20161"/>
    <d v="1899-12-30T19:20:37"/>
    <x v="1"/>
    <x v="0"/>
    <s v="0069"/>
    <n v="38.700000000000003"/>
    <x v="0"/>
    <x v="20"/>
  </r>
  <r>
    <s v="20162"/>
    <d v="1899-12-30T10:35:54"/>
    <x v="0"/>
    <x v="0"/>
    <s v="0070"/>
    <n v="33.799999999999997"/>
    <x v="3"/>
    <x v="21"/>
  </r>
  <r>
    <s v="20163"/>
    <d v="1899-12-30T13:29:20"/>
    <x v="1"/>
    <x v="0"/>
    <s v="0071"/>
    <n v="33.799999999999997"/>
    <x v="3"/>
    <x v="21"/>
  </r>
  <r>
    <s v="20164"/>
    <d v="1899-12-30T16:15:14"/>
    <x v="1"/>
    <x v="1"/>
    <s v="Cash"/>
    <n v="40"/>
    <x v="7"/>
    <x v="21"/>
  </r>
  <r>
    <s v="20165"/>
    <d v="1899-12-30T17:17:04"/>
    <x v="1"/>
    <x v="0"/>
    <s v="0012"/>
    <n v="28.9"/>
    <x v="2"/>
    <x v="21"/>
  </r>
  <r>
    <s v="20166"/>
    <d v="1899-12-30T17:17:59"/>
    <x v="1"/>
    <x v="0"/>
    <s v="0012"/>
    <n v="24"/>
    <x v="6"/>
    <x v="21"/>
  </r>
  <r>
    <s v="20167"/>
    <d v="1899-12-30T17:20:49"/>
    <x v="1"/>
    <x v="0"/>
    <s v="0050"/>
    <n v="28.9"/>
    <x v="2"/>
    <x v="21"/>
  </r>
  <r>
    <s v="20168"/>
    <d v="1899-12-30T10:44:00"/>
    <x v="0"/>
    <x v="0"/>
    <s v="0072"/>
    <n v="38.700000000000003"/>
    <x v="0"/>
    <x v="22"/>
  </r>
  <r>
    <s v="20169"/>
    <d v="1899-12-30T10:45:07"/>
    <x v="0"/>
    <x v="0"/>
    <s v="0073"/>
    <n v="33.799999999999997"/>
    <x v="3"/>
    <x v="22"/>
  </r>
  <r>
    <s v="20170"/>
    <d v="1899-12-30T13:10:08"/>
    <x v="1"/>
    <x v="0"/>
    <s v="0074"/>
    <n v="38.700000000000003"/>
    <x v="7"/>
    <x v="22"/>
  </r>
  <r>
    <s v="20171"/>
    <d v="1899-12-30T13:11:12"/>
    <x v="1"/>
    <x v="0"/>
    <s v="0074"/>
    <n v="38.700000000000003"/>
    <x v="4"/>
    <x v="22"/>
  </r>
  <r>
    <s v="20172"/>
    <d v="1899-12-30T14:44:41"/>
    <x v="1"/>
    <x v="0"/>
    <s v="0075"/>
    <n v="33.799999999999997"/>
    <x v="3"/>
    <x v="22"/>
  </r>
  <r>
    <s v="20173"/>
    <d v="1899-12-30T15:47:19"/>
    <x v="1"/>
    <x v="0"/>
    <s v="0076"/>
    <n v="38.700000000000003"/>
    <x v="0"/>
    <x v="22"/>
  </r>
  <r>
    <s v="20174"/>
    <d v="1899-12-30T15:49:34"/>
    <x v="1"/>
    <x v="0"/>
    <s v="0076"/>
    <n v="33.799999999999997"/>
    <x v="3"/>
    <x v="22"/>
  </r>
  <r>
    <s v="20175"/>
    <d v="1899-12-30T16:00:58"/>
    <x v="1"/>
    <x v="0"/>
    <s v="0009"/>
    <n v="28.9"/>
    <x v="5"/>
    <x v="22"/>
  </r>
  <r>
    <s v="20176"/>
    <d v="1899-12-30T10:03:56"/>
    <x v="0"/>
    <x v="1"/>
    <s v="Cash"/>
    <n v="40"/>
    <x v="0"/>
    <x v="23"/>
  </r>
  <r>
    <s v="20177"/>
    <d v="1899-12-30T18:45:08"/>
    <x v="1"/>
    <x v="0"/>
    <s v="0077"/>
    <n v="38.700000000000003"/>
    <x v="0"/>
    <x v="23"/>
  </r>
  <r>
    <s v="20178"/>
    <d v="1899-12-30T10:31:47"/>
    <x v="0"/>
    <x v="0"/>
    <s v="0009"/>
    <n v="38.700000000000003"/>
    <x v="0"/>
    <x v="24"/>
  </r>
  <r>
    <s v="20179"/>
    <d v="1899-12-30T11:16:26"/>
    <x v="0"/>
    <x v="1"/>
    <s v="Cash"/>
    <n v="35"/>
    <x v="3"/>
    <x v="24"/>
  </r>
  <r>
    <s v="20180"/>
    <d v="1899-12-30T14:27:09"/>
    <x v="1"/>
    <x v="0"/>
    <s v="0078"/>
    <n v="38.700000000000003"/>
    <x v="0"/>
    <x v="24"/>
  </r>
  <r>
    <s v="20181"/>
    <d v="1899-12-30T14:29:25"/>
    <x v="1"/>
    <x v="0"/>
    <s v="0017"/>
    <n v="38.700000000000003"/>
    <x v="0"/>
    <x v="24"/>
  </r>
  <r>
    <s v="20182"/>
    <d v="1899-12-30T18:37:31"/>
    <x v="1"/>
    <x v="0"/>
    <s v="0024"/>
    <n v="33.799999999999997"/>
    <x v="3"/>
    <x v="24"/>
  </r>
  <r>
    <s v="20183"/>
    <d v="1899-12-30T19:34:25"/>
    <x v="1"/>
    <x v="0"/>
    <s v="0079"/>
    <n v="38.700000000000003"/>
    <x v="7"/>
    <x v="24"/>
  </r>
  <r>
    <s v="20184"/>
    <d v="1899-12-30T10:35:50"/>
    <x v="0"/>
    <x v="0"/>
    <s v="0055"/>
    <n v="38.700000000000003"/>
    <x v="4"/>
    <x v="25"/>
  </r>
  <r>
    <s v="20185"/>
    <d v="1899-12-30T10:36:36"/>
    <x v="0"/>
    <x v="0"/>
    <s v="0055"/>
    <n v="38.700000000000003"/>
    <x v="0"/>
    <x v="25"/>
  </r>
  <r>
    <s v="20186"/>
    <d v="1899-12-30T10:42:30"/>
    <x v="0"/>
    <x v="0"/>
    <s v="0080"/>
    <n v="38.700000000000003"/>
    <x v="0"/>
    <x v="25"/>
  </r>
  <r>
    <s v="20187"/>
    <d v="1899-12-30T11:11:47"/>
    <x v="0"/>
    <x v="0"/>
    <s v="0009"/>
    <n v="28.9"/>
    <x v="5"/>
    <x v="25"/>
  </r>
  <r>
    <s v="20188"/>
    <d v="1899-12-30T13:35:53"/>
    <x v="1"/>
    <x v="0"/>
    <s v="0003"/>
    <n v="28.9"/>
    <x v="2"/>
    <x v="25"/>
  </r>
  <r>
    <s v="20189"/>
    <d v="1899-12-30T13:36:50"/>
    <x v="1"/>
    <x v="0"/>
    <s v="0032"/>
    <n v="28.9"/>
    <x v="5"/>
    <x v="25"/>
  </r>
  <r>
    <s v="20190"/>
    <d v="1899-12-30T13:38:00"/>
    <x v="1"/>
    <x v="0"/>
    <s v="0059"/>
    <n v="28.9"/>
    <x v="5"/>
    <x v="25"/>
  </r>
  <r>
    <s v="20191"/>
    <d v="1899-12-30T13:57:54"/>
    <x v="1"/>
    <x v="0"/>
    <s v="0050"/>
    <n v="28.9"/>
    <x v="2"/>
    <x v="25"/>
  </r>
  <r>
    <s v="20192"/>
    <d v="1899-12-30T15:48:02"/>
    <x v="1"/>
    <x v="0"/>
    <s v="0081"/>
    <n v="38.700000000000003"/>
    <x v="0"/>
    <x v="25"/>
  </r>
  <r>
    <s v="20193"/>
    <d v="1899-12-30T18:33:39"/>
    <x v="1"/>
    <x v="0"/>
    <s v="0024"/>
    <n v="38.700000000000003"/>
    <x v="0"/>
    <x v="25"/>
  </r>
  <r>
    <s v="20194"/>
    <d v="1899-12-30T18:34:55"/>
    <x v="1"/>
    <x v="0"/>
    <s v="0009"/>
    <n v="38.700000000000003"/>
    <x v="1"/>
    <x v="25"/>
  </r>
  <r>
    <s v="20195"/>
    <d v="1899-12-30T11:04:51"/>
    <x v="0"/>
    <x v="0"/>
    <s v="0003"/>
    <n v="28.9"/>
    <x v="5"/>
    <x v="26"/>
  </r>
  <r>
    <s v="20196"/>
    <d v="1899-12-30T11:05:58"/>
    <x v="0"/>
    <x v="0"/>
    <s v="0003"/>
    <n v="33.799999999999997"/>
    <x v="3"/>
    <x v="26"/>
  </r>
  <r>
    <s v="20197"/>
    <d v="1899-12-30T12:57:00"/>
    <x v="1"/>
    <x v="0"/>
    <s v="0082"/>
    <n v="33.799999999999997"/>
    <x v="3"/>
    <x v="26"/>
  </r>
  <r>
    <s v="20198"/>
    <d v="1899-12-30T13:35:20"/>
    <x v="1"/>
    <x v="0"/>
    <s v="0083"/>
    <n v="38.700000000000003"/>
    <x v="1"/>
    <x v="26"/>
  </r>
  <r>
    <s v="20199"/>
    <d v="1899-12-30T14:22:32"/>
    <x v="1"/>
    <x v="0"/>
    <s v="0012"/>
    <n v="38.700000000000003"/>
    <x v="7"/>
    <x v="26"/>
  </r>
  <r>
    <s v="20200"/>
    <d v="1899-12-30T14:23:35"/>
    <x v="1"/>
    <x v="0"/>
    <s v="0012"/>
    <n v="28.9"/>
    <x v="2"/>
    <x v="26"/>
  </r>
  <r>
    <s v="20201"/>
    <d v="1899-12-30T18:30:12"/>
    <x v="1"/>
    <x v="0"/>
    <s v="0084"/>
    <n v="28.9"/>
    <x v="5"/>
    <x v="26"/>
  </r>
  <r>
    <s v="20202"/>
    <d v="1899-12-30T19:31:12"/>
    <x v="1"/>
    <x v="1"/>
    <s v="Cash"/>
    <n v="40"/>
    <x v="0"/>
    <x v="26"/>
  </r>
  <r>
    <s v="20203"/>
    <d v="1899-12-30T14:24:47"/>
    <x v="1"/>
    <x v="0"/>
    <s v="0085"/>
    <n v="28.9"/>
    <x v="5"/>
    <x v="27"/>
  </r>
  <r>
    <s v="20204"/>
    <d v="1899-12-30T17:24:46"/>
    <x v="1"/>
    <x v="0"/>
    <s v="0012"/>
    <n v="28.9"/>
    <x v="5"/>
    <x v="27"/>
  </r>
  <r>
    <s v="20205"/>
    <d v="1899-12-30T17:27:05"/>
    <x v="1"/>
    <x v="0"/>
    <s v="0012"/>
    <n v="28.9"/>
    <x v="2"/>
    <x v="27"/>
  </r>
  <r>
    <s v="20206"/>
    <d v="1899-12-30T17:32:45"/>
    <x v="1"/>
    <x v="0"/>
    <s v="0086"/>
    <n v="38.700000000000003"/>
    <x v="0"/>
    <x v="27"/>
  </r>
  <r>
    <s v="20207"/>
    <d v="1899-12-30T10:56:19"/>
    <x v="0"/>
    <x v="0"/>
    <s v="0087"/>
    <n v="38.700000000000003"/>
    <x v="0"/>
    <x v="28"/>
  </r>
  <r>
    <s v="20208"/>
    <d v="1899-12-30T12:34:17"/>
    <x v="1"/>
    <x v="0"/>
    <s v="0088"/>
    <n v="38.700000000000003"/>
    <x v="7"/>
    <x v="28"/>
  </r>
  <r>
    <s v="20209"/>
    <d v="1899-12-30T12:41:32"/>
    <x v="1"/>
    <x v="0"/>
    <s v="0088"/>
    <n v="38.700000000000003"/>
    <x v="7"/>
    <x v="28"/>
  </r>
  <r>
    <s v="20210"/>
    <d v="1899-12-30T13:22:45"/>
    <x v="1"/>
    <x v="1"/>
    <s v="Cash"/>
    <n v="40"/>
    <x v="7"/>
    <x v="28"/>
  </r>
  <r>
    <s v="20211"/>
    <d v="1899-12-30T11:59:20"/>
    <x v="0"/>
    <x v="0"/>
    <s v="0069"/>
    <n v="38.700000000000003"/>
    <x v="0"/>
    <x v="29"/>
  </r>
  <r>
    <s v="20212"/>
    <d v="1899-12-30T13:49:26"/>
    <x v="1"/>
    <x v="1"/>
    <s v="Cash"/>
    <n v="40"/>
    <x v="7"/>
    <x v="29"/>
  </r>
  <r>
    <s v="20213"/>
    <d v="1899-12-30T16:12:32"/>
    <x v="1"/>
    <x v="0"/>
    <s v="0017"/>
    <n v="38.700000000000003"/>
    <x v="0"/>
    <x v="29"/>
  </r>
  <r>
    <s v="20214"/>
    <d v="1899-12-30T16:36:41"/>
    <x v="1"/>
    <x v="0"/>
    <s v="0009"/>
    <n v="38.700000000000003"/>
    <x v="0"/>
    <x v="29"/>
  </r>
  <r>
    <s v="20215"/>
    <d v="1899-12-30T16:37:58"/>
    <x v="1"/>
    <x v="0"/>
    <s v="0009"/>
    <n v="33.799999999999997"/>
    <x v="3"/>
    <x v="29"/>
  </r>
  <r>
    <s v="20216"/>
    <d v="1899-12-30T10:40:05"/>
    <x v="0"/>
    <x v="0"/>
    <s v="0089"/>
    <n v="38.700000000000003"/>
    <x v="7"/>
    <x v="30"/>
  </r>
  <r>
    <s v="20217"/>
    <d v="1899-12-30T19:36:45"/>
    <x v="1"/>
    <x v="1"/>
    <s v="Cash"/>
    <n v="30"/>
    <x v="2"/>
    <x v="30"/>
  </r>
  <r>
    <s v="20218"/>
    <d v="1899-12-30T10:28:48"/>
    <x v="0"/>
    <x v="0"/>
    <s v="0004"/>
    <n v="28.9"/>
    <x v="2"/>
    <x v="31"/>
  </r>
  <r>
    <s v="20219"/>
    <d v="1899-12-30T10:29:42"/>
    <x v="0"/>
    <x v="0"/>
    <s v="0004"/>
    <n v="33.799999999999997"/>
    <x v="3"/>
    <x v="31"/>
  </r>
  <r>
    <s v="20220"/>
    <d v="1899-12-30T10:30:44"/>
    <x v="0"/>
    <x v="0"/>
    <s v="0004"/>
    <n v="33.799999999999997"/>
    <x v="3"/>
    <x v="31"/>
  </r>
  <r>
    <s v="20221"/>
    <d v="1899-12-30T11:15:44"/>
    <x v="0"/>
    <x v="0"/>
    <s v="0009"/>
    <n v="33.799999999999997"/>
    <x v="3"/>
    <x v="31"/>
  </r>
  <r>
    <s v="20222"/>
    <d v="1899-12-30T17:01:43"/>
    <x v="1"/>
    <x v="1"/>
    <s v="Cash"/>
    <n v="40"/>
    <x v="7"/>
    <x v="31"/>
  </r>
  <r>
    <s v="20223"/>
    <d v="1899-12-30T18:18:42"/>
    <x v="1"/>
    <x v="0"/>
    <s v="0024"/>
    <n v="33.799999999999997"/>
    <x v="3"/>
    <x v="31"/>
  </r>
  <r>
    <s v="20224"/>
    <d v="1899-12-30T18:45:27"/>
    <x v="1"/>
    <x v="0"/>
    <s v="0090"/>
    <n v="38.700000000000003"/>
    <x v="1"/>
    <x v="31"/>
  </r>
  <r>
    <s v="20225"/>
    <d v="1899-12-30T10:01:14"/>
    <x v="0"/>
    <x v="0"/>
    <s v="0001"/>
    <n v="38.700000000000003"/>
    <x v="0"/>
    <x v="32"/>
  </r>
  <r>
    <s v="20226"/>
    <d v="1899-12-30T16:18:34"/>
    <x v="1"/>
    <x v="0"/>
    <s v="0003"/>
    <n v="28.9"/>
    <x v="2"/>
    <x v="32"/>
  </r>
  <r>
    <s v="20227"/>
    <d v="1899-12-30T16:19:28"/>
    <x v="1"/>
    <x v="0"/>
    <s v="0003"/>
    <n v="28.9"/>
    <x v="5"/>
    <x v="32"/>
  </r>
  <r>
    <s v="20228"/>
    <d v="1899-12-30T19:59:32"/>
    <x v="1"/>
    <x v="1"/>
    <s v="Cash"/>
    <n v="40"/>
    <x v="7"/>
    <x v="32"/>
  </r>
  <r>
    <s v="20229"/>
    <d v="1899-12-30T10:19:14"/>
    <x v="0"/>
    <x v="0"/>
    <s v="0003"/>
    <n v="28.9"/>
    <x v="5"/>
    <x v="33"/>
  </r>
  <r>
    <s v="20230"/>
    <d v="1899-12-30T10:20:08"/>
    <x v="0"/>
    <x v="0"/>
    <s v="0003"/>
    <n v="28.9"/>
    <x v="2"/>
    <x v="33"/>
  </r>
  <r>
    <s v="20231"/>
    <d v="1899-12-30T13:12:05"/>
    <x v="1"/>
    <x v="0"/>
    <s v="0012"/>
    <n v="38.700000000000003"/>
    <x v="7"/>
    <x v="33"/>
  </r>
  <r>
    <s v="20232"/>
    <d v="1899-12-30T15:36:12"/>
    <x v="1"/>
    <x v="1"/>
    <s v="Cash"/>
    <n v="30"/>
    <x v="5"/>
    <x v="33"/>
  </r>
  <r>
    <s v="20233"/>
    <d v="1899-12-30T10:44:56"/>
    <x v="0"/>
    <x v="0"/>
    <s v="0091"/>
    <n v="38.700000000000003"/>
    <x v="0"/>
    <x v="34"/>
  </r>
  <r>
    <s v="20234"/>
    <d v="1899-12-30T11:26:38"/>
    <x v="0"/>
    <x v="0"/>
    <s v="0092"/>
    <n v="38.700000000000003"/>
    <x v="0"/>
    <x v="34"/>
  </r>
  <r>
    <s v="20235"/>
    <d v="1899-12-30T11:27:48"/>
    <x v="0"/>
    <x v="0"/>
    <s v="0093"/>
    <n v="38.700000000000003"/>
    <x v="7"/>
    <x v="34"/>
  </r>
  <r>
    <s v="20236"/>
    <d v="1899-12-30T12:23:02"/>
    <x v="1"/>
    <x v="0"/>
    <s v="0094"/>
    <n v="28.9"/>
    <x v="5"/>
    <x v="34"/>
  </r>
  <r>
    <s v="20237"/>
    <d v="1899-12-30T19:42:08"/>
    <x v="1"/>
    <x v="1"/>
    <s v="Cash"/>
    <n v="40"/>
    <x v="0"/>
    <x v="34"/>
  </r>
  <r>
    <s v="20238"/>
    <d v="1899-12-30T10:40:43"/>
    <x v="0"/>
    <x v="0"/>
    <s v="0095"/>
    <n v="28.9"/>
    <x v="2"/>
    <x v="35"/>
  </r>
  <r>
    <s v="20239"/>
    <d v="1899-12-30T10:42:06"/>
    <x v="0"/>
    <x v="0"/>
    <s v="0012"/>
    <n v="28.9"/>
    <x v="2"/>
    <x v="35"/>
  </r>
  <r>
    <s v="20240"/>
    <d v="1899-12-30T11:06:15"/>
    <x v="0"/>
    <x v="0"/>
    <s v="0096"/>
    <n v="28.9"/>
    <x v="5"/>
    <x v="35"/>
  </r>
  <r>
    <s v="20241"/>
    <d v="1899-12-30T12:14:28"/>
    <x v="1"/>
    <x v="0"/>
    <s v="0097"/>
    <n v="33.799999999999997"/>
    <x v="3"/>
    <x v="35"/>
  </r>
  <r>
    <s v="20242"/>
    <d v="1899-12-30T14:23:40"/>
    <x v="1"/>
    <x v="0"/>
    <s v="0098"/>
    <n v="38.700000000000003"/>
    <x v="0"/>
    <x v="35"/>
  </r>
  <r>
    <s v="20243"/>
    <d v="1899-12-30T14:24:50"/>
    <x v="1"/>
    <x v="0"/>
    <s v="0098"/>
    <n v="28.9"/>
    <x v="5"/>
    <x v="35"/>
  </r>
  <r>
    <s v="20244"/>
    <d v="1899-12-30T15:30:50"/>
    <x v="1"/>
    <x v="1"/>
    <s v="Cash"/>
    <n v="40"/>
    <x v="0"/>
    <x v="35"/>
  </r>
  <r>
    <s v="20245"/>
    <d v="1899-12-30T15:54:16"/>
    <x v="1"/>
    <x v="1"/>
    <s v="Cash"/>
    <n v="40"/>
    <x v="7"/>
    <x v="35"/>
  </r>
  <r>
    <s v="20246"/>
    <d v="1899-12-30T15:55:31"/>
    <x v="1"/>
    <x v="1"/>
    <s v="Cash"/>
    <n v="30"/>
    <x v="2"/>
    <x v="35"/>
  </r>
  <r>
    <s v="20247"/>
    <d v="1899-12-30T16:17:44"/>
    <x v="1"/>
    <x v="1"/>
    <s v="Cash"/>
    <n v="40"/>
    <x v="4"/>
    <x v="35"/>
  </r>
  <r>
    <s v="20248"/>
    <d v="1899-12-30T16:18:24"/>
    <x v="1"/>
    <x v="0"/>
    <s v="0003"/>
    <n v="24"/>
    <x v="6"/>
    <x v="35"/>
  </r>
  <r>
    <s v="20249"/>
    <d v="1899-12-30T12:32:31"/>
    <x v="1"/>
    <x v="0"/>
    <s v="0099"/>
    <n v="33.799999999999997"/>
    <x v="3"/>
    <x v="36"/>
  </r>
  <r>
    <s v="20250"/>
    <d v="1899-12-30T14:13:19"/>
    <x v="1"/>
    <x v="0"/>
    <s v="0040"/>
    <n v="38.700000000000003"/>
    <x v="7"/>
    <x v="36"/>
  </r>
  <r>
    <s v="20251"/>
    <d v="1899-12-30T14:14:27"/>
    <x v="1"/>
    <x v="0"/>
    <s v="0040"/>
    <n v="28.9"/>
    <x v="2"/>
    <x v="36"/>
  </r>
  <r>
    <s v="20252"/>
    <d v="1899-12-30T14:49:50"/>
    <x v="1"/>
    <x v="0"/>
    <s v="0009"/>
    <n v="38.700000000000003"/>
    <x v="0"/>
    <x v="36"/>
  </r>
  <r>
    <s v="20253"/>
    <d v="1899-12-30T10:12:53"/>
    <x v="0"/>
    <x v="0"/>
    <s v="0091"/>
    <n v="38.700000000000003"/>
    <x v="0"/>
    <x v="37"/>
  </r>
  <r>
    <s v="20254"/>
    <d v="1899-12-30T12:44:32"/>
    <x v="1"/>
    <x v="0"/>
    <s v="0040"/>
    <n v="38.700000000000003"/>
    <x v="7"/>
    <x v="37"/>
  </r>
  <r>
    <s v="20255"/>
    <d v="1899-12-30T12:46:05"/>
    <x v="1"/>
    <x v="0"/>
    <s v="0040"/>
    <n v="38.700000000000003"/>
    <x v="7"/>
    <x v="37"/>
  </r>
  <r>
    <s v="20256"/>
    <d v="1899-12-30T14:16:25"/>
    <x v="1"/>
    <x v="0"/>
    <s v="0100"/>
    <n v="28.9"/>
    <x v="5"/>
    <x v="37"/>
  </r>
  <r>
    <s v="20257"/>
    <d v="1899-12-30T14:17:31"/>
    <x v="1"/>
    <x v="0"/>
    <s v="0100"/>
    <n v="24"/>
    <x v="6"/>
    <x v="37"/>
  </r>
  <r>
    <s v="20258"/>
    <d v="1899-12-30T18:01:17"/>
    <x v="1"/>
    <x v="0"/>
    <s v="0101"/>
    <n v="38.700000000000003"/>
    <x v="1"/>
    <x v="37"/>
  </r>
  <r>
    <s v="20259"/>
    <d v="1899-12-30T18:02:04"/>
    <x v="1"/>
    <x v="0"/>
    <s v="0101"/>
    <n v="33.799999999999997"/>
    <x v="3"/>
    <x v="37"/>
  </r>
  <r>
    <s v="20260"/>
    <d v="1899-12-30T10:58:21"/>
    <x v="0"/>
    <x v="0"/>
    <s v="0102"/>
    <n v="33.799999999999997"/>
    <x v="3"/>
    <x v="38"/>
  </r>
  <r>
    <s v="20261"/>
    <d v="1899-12-30T10:59:28"/>
    <x v="0"/>
    <x v="0"/>
    <s v="0103"/>
    <n v="38.700000000000003"/>
    <x v="7"/>
    <x v="38"/>
  </r>
  <r>
    <s v="20262"/>
    <d v="1899-12-30T11:01:20"/>
    <x v="0"/>
    <x v="0"/>
    <s v="0012"/>
    <n v="28.9"/>
    <x v="2"/>
    <x v="38"/>
  </r>
  <r>
    <s v="20263"/>
    <d v="1899-12-30T11:04:47"/>
    <x v="0"/>
    <x v="0"/>
    <s v="0104"/>
    <n v="38.700000000000003"/>
    <x v="7"/>
    <x v="38"/>
  </r>
  <r>
    <s v="20264"/>
    <d v="1899-12-30T12:54:26"/>
    <x v="1"/>
    <x v="1"/>
    <s v="Cash"/>
    <n v="25"/>
    <x v="6"/>
    <x v="38"/>
  </r>
  <r>
    <s v="20265"/>
    <d v="1899-12-30T15:43:37"/>
    <x v="1"/>
    <x v="1"/>
    <s v="Cash"/>
    <n v="35"/>
    <x v="3"/>
    <x v="38"/>
  </r>
  <r>
    <s v="20266"/>
    <d v="1899-12-30T16:41:38"/>
    <x v="1"/>
    <x v="0"/>
    <s v="0017"/>
    <n v="38.700000000000003"/>
    <x v="0"/>
    <x v="38"/>
  </r>
  <r>
    <s v="20267"/>
    <d v="1899-12-30T18:18:10"/>
    <x v="1"/>
    <x v="0"/>
    <s v="0105"/>
    <n v="28.9"/>
    <x v="2"/>
    <x v="38"/>
  </r>
  <r>
    <s v="20268"/>
    <d v="1899-12-30T19:22:27"/>
    <x v="1"/>
    <x v="0"/>
    <s v="0024"/>
    <n v="33.799999999999997"/>
    <x v="3"/>
    <x v="38"/>
  </r>
  <r>
    <s v="20269"/>
    <d v="1899-12-30T19:23:59"/>
    <x v="1"/>
    <x v="0"/>
    <s v="0106"/>
    <n v="38.700000000000003"/>
    <x v="7"/>
    <x v="38"/>
  </r>
  <r>
    <s v="20270"/>
    <d v="1899-12-30T10:22:27"/>
    <x v="0"/>
    <x v="1"/>
    <s v="Cash"/>
    <n v="40"/>
    <x v="7"/>
    <x v="39"/>
  </r>
  <r>
    <s v="20271"/>
    <d v="1899-12-30T10:24:10"/>
    <x v="0"/>
    <x v="1"/>
    <s v="Cash"/>
    <n v="30"/>
    <x v="2"/>
    <x v="39"/>
  </r>
  <r>
    <s v="20272"/>
    <d v="1899-12-30T11:42:28"/>
    <x v="0"/>
    <x v="0"/>
    <s v="0091"/>
    <n v="38.700000000000003"/>
    <x v="0"/>
    <x v="39"/>
  </r>
  <r>
    <s v="20273"/>
    <d v="1899-12-30T15:11:49"/>
    <x v="1"/>
    <x v="0"/>
    <s v="0107"/>
    <n v="38.700000000000003"/>
    <x v="1"/>
    <x v="39"/>
  </r>
  <r>
    <s v="20274"/>
    <d v="1899-12-30T17:25:24"/>
    <x v="1"/>
    <x v="0"/>
    <s v="0049"/>
    <n v="38.700000000000003"/>
    <x v="1"/>
    <x v="39"/>
  </r>
  <r>
    <s v="20275"/>
    <d v="1899-12-30T10:21:26"/>
    <x v="0"/>
    <x v="1"/>
    <s v="Cash"/>
    <n v="25"/>
    <x v="6"/>
    <x v="40"/>
  </r>
  <r>
    <s v="20276"/>
    <d v="1899-12-30T17:55:07"/>
    <x v="1"/>
    <x v="1"/>
    <s v="Cash"/>
    <n v="40"/>
    <x v="1"/>
    <x v="40"/>
  </r>
  <r>
    <s v="20277"/>
    <d v="1899-12-30T17:55:31"/>
    <x v="1"/>
    <x v="0"/>
    <s v="0108"/>
    <n v="24"/>
    <x v="6"/>
    <x v="40"/>
  </r>
  <r>
    <s v="20278"/>
    <d v="1899-12-30T18:24:59"/>
    <x v="1"/>
    <x v="0"/>
    <s v="0009"/>
    <n v="38.700000000000003"/>
    <x v="7"/>
    <x v="40"/>
  </r>
  <r>
    <s v="20279"/>
    <d v="1899-12-30T20:04:05"/>
    <x v="1"/>
    <x v="0"/>
    <s v="0109"/>
    <n v="38.700000000000003"/>
    <x v="0"/>
    <x v="40"/>
  </r>
  <r>
    <s v="20280"/>
    <d v="1899-12-30T10:41:23"/>
    <x v="0"/>
    <x v="0"/>
    <s v="0110"/>
    <n v="28.9"/>
    <x v="2"/>
    <x v="41"/>
  </r>
  <r>
    <s v="20281"/>
    <d v="1899-12-30T10:42:59"/>
    <x v="0"/>
    <x v="0"/>
    <s v="0110"/>
    <n v="28.9"/>
    <x v="2"/>
    <x v="41"/>
  </r>
  <r>
    <s v="20282"/>
    <d v="1899-12-30T16:35:23"/>
    <x v="1"/>
    <x v="0"/>
    <s v="0017"/>
    <n v="38.700000000000003"/>
    <x v="0"/>
    <x v="41"/>
  </r>
  <r>
    <s v="20283"/>
    <d v="1899-12-30T19:16:57"/>
    <x v="1"/>
    <x v="0"/>
    <s v="0106"/>
    <n v="38.700000000000003"/>
    <x v="7"/>
    <x v="41"/>
  </r>
  <r>
    <s v="20284"/>
    <d v="1899-12-30T19:18:37"/>
    <x v="1"/>
    <x v="0"/>
    <s v="0024"/>
    <n v="33.799999999999997"/>
    <x v="3"/>
    <x v="41"/>
  </r>
  <r>
    <s v="20285"/>
    <d v="1899-12-30T19:03:43"/>
    <x v="1"/>
    <x v="0"/>
    <s v="0019"/>
    <n v="38.700000000000003"/>
    <x v="1"/>
    <x v="42"/>
  </r>
  <r>
    <s v="20286"/>
    <d v="1899-12-30T19:38:23"/>
    <x v="1"/>
    <x v="0"/>
    <s v="0009"/>
    <n v="28.9"/>
    <x v="5"/>
    <x v="42"/>
  </r>
  <r>
    <s v="20287"/>
    <d v="1899-12-30T12:29:20"/>
    <x v="1"/>
    <x v="0"/>
    <s v="0009"/>
    <n v="38.700000000000003"/>
    <x v="0"/>
    <x v="43"/>
  </r>
  <r>
    <s v="20288"/>
    <d v="1899-12-30T12:43:02"/>
    <x v="1"/>
    <x v="0"/>
    <s v="0012"/>
    <n v="28.9"/>
    <x v="2"/>
    <x v="43"/>
  </r>
  <r>
    <s v="20289"/>
    <d v="1899-12-30T15:06:52"/>
    <x v="1"/>
    <x v="1"/>
    <s v="Cash"/>
    <n v="40"/>
    <x v="1"/>
    <x v="43"/>
  </r>
  <r>
    <s v="20290"/>
    <d v="1899-12-30T15:07:56"/>
    <x v="1"/>
    <x v="1"/>
    <s v="Cash"/>
    <n v="40"/>
    <x v="1"/>
    <x v="43"/>
  </r>
  <r>
    <s v="20291"/>
    <d v="1899-12-30T16:18:04"/>
    <x v="1"/>
    <x v="0"/>
    <s v="0111"/>
    <n v="38.700000000000003"/>
    <x v="7"/>
    <x v="43"/>
  </r>
  <r>
    <s v="20292"/>
    <d v="1899-12-30T16:19:40"/>
    <x v="1"/>
    <x v="0"/>
    <s v="0111"/>
    <n v="38.700000000000003"/>
    <x v="0"/>
    <x v="43"/>
  </r>
  <r>
    <s v="20293"/>
    <d v="1899-12-30T17:51:26"/>
    <x v="1"/>
    <x v="0"/>
    <s v="0112"/>
    <n v="38.700000000000003"/>
    <x v="7"/>
    <x v="43"/>
  </r>
  <r>
    <s v="20294"/>
    <d v="1899-12-30T17:53:19"/>
    <x v="1"/>
    <x v="0"/>
    <s v="0012"/>
    <n v="38.700000000000003"/>
    <x v="7"/>
    <x v="43"/>
  </r>
  <r>
    <s v="20295"/>
    <d v="1899-12-30T10:55:27"/>
    <x v="0"/>
    <x v="1"/>
    <s v="Cash"/>
    <n v="40"/>
    <x v="0"/>
    <x v="44"/>
  </r>
  <r>
    <s v="20296"/>
    <d v="1899-12-30T12:24:39"/>
    <x v="1"/>
    <x v="0"/>
    <s v="0113"/>
    <n v="38.700000000000003"/>
    <x v="7"/>
    <x v="44"/>
  </r>
  <r>
    <s v="20297"/>
    <d v="1899-12-30T12:27:09"/>
    <x v="1"/>
    <x v="1"/>
    <s v="Cash"/>
    <n v="30"/>
    <x v="5"/>
    <x v="44"/>
  </r>
  <r>
    <s v="20298"/>
    <d v="1899-12-30T12:29:07"/>
    <x v="1"/>
    <x v="1"/>
    <s v="Cash"/>
    <n v="30"/>
    <x v="5"/>
    <x v="44"/>
  </r>
  <r>
    <s v="20299"/>
    <d v="1899-12-30T12:31:36"/>
    <x v="1"/>
    <x v="1"/>
    <s v="Cash"/>
    <n v="35"/>
    <x v="3"/>
    <x v="44"/>
  </r>
  <r>
    <s v="20300"/>
    <d v="1899-12-30T13:21:50"/>
    <x v="1"/>
    <x v="0"/>
    <s v="0114"/>
    <n v="28.9"/>
    <x v="5"/>
    <x v="44"/>
  </r>
  <r>
    <s v="20301"/>
    <d v="1899-12-30T14:23:32"/>
    <x v="1"/>
    <x v="0"/>
    <s v="0012"/>
    <n v="28.9"/>
    <x v="2"/>
    <x v="44"/>
  </r>
  <r>
    <s v="20302"/>
    <d v="1899-12-30T14:24:27"/>
    <x v="1"/>
    <x v="0"/>
    <s v="0012"/>
    <n v="28.9"/>
    <x v="2"/>
    <x v="44"/>
  </r>
  <r>
    <s v="20303"/>
    <d v="1899-12-30T14:25:18"/>
    <x v="1"/>
    <x v="0"/>
    <s v="0012"/>
    <n v="28.9"/>
    <x v="2"/>
    <x v="44"/>
  </r>
  <r>
    <s v="20304"/>
    <d v="1899-12-30T15:46:28"/>
    <x v="1"/>
    <x v="0"/>
    <s v="0017"/>
    <n v="38.700000000000003"/>
    <x v="7"/>
    <x v="44"/>
  </r>
  <r>
    <s v="20305"/>
    <d v="1899-12-30T16:59:55"/>
    <x v="1"/>
    <x v="0"/>
    <s v="0012"/>
    <n v="28.9"/>
    <x v="5"/>
    <x v="44"/>
  </r>
  <r>
    <s v="20306"/>
    <d v="1899-12-30T17:00:45"/>
    <x v="1"/>
    <x v="0"/>
    <s v="0019"/>
    <n v="38.700000000000003"/>
    <x v="0"/>
    <x v="44"/>
  </r>
  <r>
    <s v="20307"/>
    <d v="1899-12-30T18:38:20"/>
    <x v="1"/>
    <x v="0"/>
    <s v="0115"/>
    <n v="38.700000000000003"/>
    <x v="7"/>
    <x v="44"/>
  </r>
  <r>
    <s v="20308"/>
    <d v="1899-12-30T11:45:25"/>
    <x v="0"/>
    <x v="0"/>
    <s v="0064"/>
    <n v="28.9"/>
    <x v="2"/>
    <x v="45"/>
  </r>
  <r>
    <s v="20309"/>
    <d v="1899-12-30T17:01:46"/>
    <x v="1"/>
    <x v="0"/>
    <s v="0003"/>
    <n v="28.9"/>
    <x v="2"/>
    <x v="45"/>
  </r>
  <r>
    <s v="20310"/>
    <d v="1899-12-30T17:02:50"/>
    <x v="1"/>
    <x v="0"/>
    <s v="0004"/>
    <n v="33.799999999999997"/>
    <x v="3"/>
    <x v="45"/>
  </r>
  <r>
    <s v="20311"/>
    <d v="1899-12-30T19:33:03"/>
    <x v="1"/>
    <x v="0"/>
    <s v="0009"/>
    <n v="33.799999999999997"/>
    <x v="3"/>
    <x v="45"/>
  </r>
  <r>
    <s v="20312"/>
    <d v="1899-12-30T19:41:58"/>
    <x v="1"/>
    <x v="1"/>
    <s v="Cash"/>
    <n v="25"/>
    <x v="6"/>
    <x v="45"/>
  </r>
  <r>
    <s v="20313"/>
    <d v="1899-12-30T10:43:50"/>
    <x v="0"/>
    <x v="1"/>
    <s v="Cash"/>
    <n v="35"/>
    <x v="3"/>
    <x v="46"/>
  </r>
  <r>
    <s v="20314"/>
    <d v="1899-12-30T10:46:26"/>
    <x v="0"/>
    <x v="0"/>
    <s v="0116"/>
    <n v="33.799999999999997"/>
    <x v="3"/>
    <x v="46"/>
  </r>
  <r>
    <s v="20315"/>
    <d v="1899-12-30T12:40:48"/>
    <x v="1"/>
    <x v="0"/>
    <s v="0117"/>
    <n v="38.700000000000003"/>
    <x v="4"/>
    <x v="46"/>
  </r>
  <r>
    <s v="20316"/>
    <d v="1899-12-30T12:52:08"/>
    <x v="1"/>
    <x v="0"/>
    <s v="0064"/>
    <n v="28.9"/>
    <x v="5"/>
    <x v="46"/>
  </r>
  <r>
    <s v="20317"/>
    <d v="1899-12-30T15:03:17"/>
    <x v="1"/>
    <x v="0"/>
    <s v="0118"/>
    <n v="28.9"/>
    <x v="2"/>
    <x v="46"/>
  </r>
  <r>
    <s v="20318"/>
    <d v="1899-12-30T17:42:04"/>
    <x v="1"/>
    <x v="0"/>
    <s v="0024"/>
    <n v="33.799999999999997"/>
    <x v="3"/>
    <x v="46"/>
  </r>
  <r>
    <s v="20319"/>
    <d v="1899-12-30T17:43:23"/>
    <x v="1"/>
    <x v="0"/>
    <s v="0009"/>
    <n v="38.700000000000003"/>
    <x v="7"/>
    <x v="46"/>
  </r>
  <r>
    <s v="20320"/>
    <d v="1899-12-30T18:09:05"/>
    <x v="1"/>
    <x v="0"/>
    <s v="0050"/>
    <n v="38.700000000000003"/>
    <x v="4"/>
    <x v="46"/>
  </r>
  <r>
    <s v="20321"/>
    <d v="1899-12-30T13:33:00"/>
    <x v="1"/>
    <x v="0"/>
    <s v="0012"/>
    <n v="28.9"/>
    <x v="2"/>
    <x v="47"/>
  </r>
  <r>
    <s v="20322"/>
    <d v="1899-12-30T13:44:00"/>
    <x v="1"/>
    <x v="0"/>
    <s v="0119"/>
    <n v="24"/>
    <x v="6"/>
    <x v="47"/>
  </r>
  <r>
    <s v="20323"/>
    <d v="1899-12-30T16:13:24"/>
    <x v="1"/>
    <x v="1"/>
    <s v="Cash"/>
    <n v="40"/>
    <x v="7"/>
    <x v="47"/>
  </r>
  <r>
    <s v="20324"/>
    <d v="1899-12-30T17:01:35"/>
    <x v="1"/>
    <x v="0"/>
    <s v="0120"/>
    <n v="38.700000000000003"/>
    <x v="7"/>
    <x v="47"/>
  </r>
  <r>
    <s v="20325"/>
    <d v="1899-12-30T17:02:41"/>
    <x v="1"/>
    <x v="0"/>
    <s v="0120"/>
    <n v="38.700000000000003"/>
    <x v="7"/>
    <x v="47"/>
  </r>
  <r>
    <s v="20326"/>
    <d v="1899-12-30T18:14:03"/>
    <x v="1"/>
    <x v="0"/>
    <s v="0121"/>
    <n v="28.9"/>
    <x v="5"/>
    <x v="47"/>
  </r>
  <r>
    <s v="20327"/>
    <d v="1899-12-30T11:19:02"/>
    <x v="0"/>
    <x v="0"/>
    <s v="0003"/>
    <n v="28.9"/>
    <x v="2"/>
    <x v="48"/>
  </r>
  <r>
    <s v="20328"/>
    <d v="1899-12-30T11:20:06"/>
    <x v="0"/>
    <x v="0"/>
    <s v="0003"/>
    <n v="28.9"/>
    <x v="2"/>
    <x v="48"/>
  </r>
  <r>
    <s v="20329"/>
    <d v="1899-12-30T13:49:13"/>
    <x v="1"/>
    <x v="0"/>
    <s v="0122"/>
    <n v="33.799999999999997"/>
    <x v="3"/>
    <x v="48"/>
  </r>
  <r>
    <s v="20330"/>
    <d v="1899-12-30T13:50:17"/>
    <x v="1"/>
    <x v="0"/>
    <s v="0122"/>
    <n v="28.9"/>
    <x v="5"/>
    <x v="48"/>
  </r>
  <r>
    <s v="20331"/>
    <d v="1899-12-30T14:34:20"/>
    <x v="1"/>
    <x v="0"/>
    <s v="0123"/>
    <n v="38.700000000000003"/>
    <x v="7"/>
    <x v="48"/>
  </r>
  <r>
    <s v="20332"/>
    <d v="1899-12-30T14:35:49"/>
    <x v="1"/>
    <x v="0"/>
    <s v="0123"/>
    <n v="38.700000000000003"/>
    <x v="0"/>
    <x v="48"/>
  </r>
  <r>
    <s v="20333"/>
    <d v="1899-12-30T17:44:16"/>
    <x v="1"/>
    <x v="0"/>
    <s v="0069"/>
    <n v="38.700000000000003"/>
    <x v="0"/>
    <x v="48"/>
  </r>
  <r>
    <s v="20334"/>
    <d v="1899-12-30T18:21:06"/>
    <x v="1"/>
    <x v="0"/>
    <s v="0085"/>
    <n v="38.700000000000003"/>
    <x v="7"/>
    <x v="48"/>
  </r>
  <r>
    <s v="20335"/>
    <d v="1899-12-30T19:39:51"/>
    <x v="1"/>
    <x v="0"/>
    <s v="0024"/>
    <n v="38.700000000000003"/>
    <x v="1"/>
    <x v="48"/>
  </r>
  <r>
    <s v="20336"/>
    <d v="1899-12-30T19:40:49"/>
    <x v="1"/>
    <x v="0"/>
    <s v="0009"/>
    <n v="38.700000000000003"/>
    <x v="1"/>
    <x v="48"/>
  </r>
  <r>
    <s v="20337"/>
    <d v="1899-12-30T10:10:36"/>
    <x v="0"/>
    <x v="0"/>
    <s v="0001"/>
    <n v="38.700000000000003"/>
    <x v="0"/>
    <x v="49"/>
  </r>
  <r>
    <s v="20338"/>
    <d v="1899-12-30T13:11:48"/>
    <x v="1"/>
    <x v="0"/>
    <s v="0040"/>
    <n v="33.799999999999997"/>
    <x v="3"/>
    <x v="49"/>
  </r>
  <r>
    <s v="20339"/>
    <d v="1899-12-30T13:13:21"/>
    <x v="1"/>
    <x v="0"/>
    <s v="0040"/>
    <n v="38.700000000000003"/>
    <x v="7"/>
    <x v="49"/>
  </r>
  <r>
    <s v="20340"/>
    <d v="1899-12-30T13:58:54"/>
    <x v="1"/>
    <x v="0"/>
    <s v="0124"/>
    <n v="38.700000000000003"/>
    <x v="1"/>
    <x v="49"/>
  </r>
  <r>
    <s v="20341"/>
    <d v="1899-12-30T13:59:50"/>
    <x v="1"/>
    <x v="0"/>
    <s v="0124"/>
    <n v="38.700000000000003"/>
    <x v="7"/>
    <x v="49"/>
  </r>
  <r>
    <s v="20342"/>
    <d v="1899-12-30T18:23:19"/>
    <x v="1"/>
    <x v="0"/>
    <s v="0024"/>
    <n v="38.700000000000003"/>
    <x v="4"/>
    <x v="49"/>
  </r>
  <r>
    <s v="20343"/>
    <d v="1899-12-30T18:25:33"/>
    <x v="1"/>
    <x v="0"/>
    <s v="0009"/>
    <n v="33.799999999999997"/>
    <x v="3"/>
    <x v="49"/>
  </r>
  <r>
    <s v="20344"/>
    <d v="1899-12-30T11:24:43"/>
    <x v="0"/>
    <x v="1"/>
    <s v="Cash"/>
    <n v="35"/>
    <x v="3"/>
    <x v="50"/>
  </r>
  <r>
    <s v="20345"/>
    <d v="1899-12-30T12:08:36"/>
    <x v="1"/>
    <x v="0"/>
    <s v="0125"/>
    <n v="33.799999999999997"/>
    <x v="3"/>
    <x v="50"/>
  </r>
  <r>
    <s v="20346"/>
    <d v="1899-12-30T12:09:43"/>
    <x v="1"/>
    <x v="0"/>
    <s v="0125"/>
    <n v="33.799999999999997"/>
    <x v="3"/>
    <x v="50"/>
  </r>
  <r>
    <s v="20347"/>
    <d v="1899-12-30T13:08:37"/>
    <x v="1"/>
    <x v="0"/>
    <s v="0118"/>
    <n v="28.9"/>
    <x v="2"/>
    <x v="50"/>
  </r>
  <r>
    <s v="20348"/>
    <d v="1899-12-30T13:09:48"/>
    <x v="1"/>
    <x v="0"/>
    <s v="0118"/>
    <n v="33.799999999999997"/>
    <x v="3"/>
    <x v="50"/>
  </r>
  <r>
    <s v="20349"/>
    <d v="1899-12-30T13:10:55"/>
    <x v="1"/>
    <x v="0"/>
    <s v="0118"/>
    <n v="38.700000000000003"/>
    <x v="1"/>
    <x v="50"/>
  </r>
  <r>
    <s v="20350"/>
    <d v="1899-12-30T14:44:18"/>
    <x v="1"/>
    <x v="0"/>
    <s v="0040"/>
    <n v="38.700000000000003"/>
    <x v="7"/>
    <x v="50"/>
  </r>
  <r>
    <s v="20351"/>
    <d v="1899-12-30T15:11:00"/>
    <x v="1"/>
    <x v="0"/>
    <s v="0009"/>
    <n v="33.799999999999997"/>
    <x v="3"/>
    <x v="50"/>
  </r>
  <r>
    <s v="20352"/>
    <d v="1899-12-30T15:22:41"/>
    <x v="1"/>
    <x v="0"/>
    <s v="0012"/>
    <n v="32.82"/>
    <x v="3"/>
    <x v="50"/>
  </r>
  <r>
    <s v="20353"/>
    <d v="1899-12-30T15:49:25"/>
    <x v="1"/>
    <x v="0"/>
    <s v="0126"/>
    <n v="32.82"/>
    <x v="3"/>
    <x v="50"/>
  </r>
  <r>
    <s v="20354"/>
    <d v="1899-12-30T17:07:58"/>
    <x v="1"/>
    <x v="1"/>
    <s v="Cash"/>
    <n v="39"/>
    <x v="4"/>
    <x v="50"/>
  </r>
  <r>
    <s v="20355"/>
    <d v="1899-12-30T18:27:41"/>
    <x v="1"/>
    <x v="0"/>
    <s v="0127"/>
    <n v="37.72"/>
    <x v="7"/>
    <x v="50"/>
  </r>
  <r>
    <s v="20356"/>
    <d v="1899-12-30T18:28:47"/>
    <x v="1"/>
    <x v="0"/>
    <s v="0127"/>
    <n v="37.72"/>
    <x v="7"/>
    <x v="50"/>
  </r>
  <r>
    <s v="20357"/>
    <d v="1899-12-30T19:30:55"/>
    <x v="1"/>
    <x v="0"/>
    <s v="0128"/>
    <n v="37.72"/>
    <x v="0"/>
    <x v="50"/>
  </r>
  <r>
    <s v="20358"/>
    <d v="1899-12-30T11:16:46"/>
    <x v="0"/>
    <x v="0"/>
    <s v="0001"/>
    <n v="37.72"/>
    <x v="0"/>
    <x v="51"/>
  </r>
  <r>
    <s v="20359"/>
    <d v="1899-12-30T14:15:38"/>
    <x v="1"/>
    <x v="0"/>
    <s v="0099"/>
    <n v="27.92"/>
    <x v="2"/>
    <x v="51"/>
  </r>
  <r>
    <s v="20360"/>
    <d v="1899-12-30T17:09:03"/>
    <x v="1"/>
    <x v="1"/>
    <s v="Cash"/>
    <n v="39"/>
    <x v="7"/>
    <x v="51"/>
  </r>
  <r>
    <s v="20361"/>
    <d v="1899-12-30T11:09:16"/>
    <x v="0"/>
    <x v="0"/>
    <s v="0012"/>
    <n v="27.92"/>
    <x v="2"/>
    <x v="52"/>
  </r>
  <r>
    <s v="20362"/>
    <d v="1899-12-30T11:29:27"/>
    <x v="0"/>
    <x v="0"/>
    <s v="0129"/>
    <n v="32.82"/>
    <x v="3"/>
    <x v="52"/>
  </r>
  <r>
    <s v="20363"/>
    <d v="1899-12-30T18:40:33"/>
    <x v="1"/>
    <x v="1"/>
    <s v="Cash"/>
    <n v="39"/>
    <x v="0"/>
    <x v="52"/>
  </r>
  <r>
    <s v="20364"/>
    <d v="1899-12-30T19:39:05"/>
    <x v="1"/>
    <x v="0"/>
    <s v="0009"/>
    <n v="37.72"/>
    <x v="0"/>
    <x v="52"/>
  </r>
  <r>
    <s v="20365"/>
    <d v="1899-12-30T20:02:29"/>
    <x v="1"/>
    <x v="1"/>
    <s v="Cash"/>
    <n v="39"/>
    <x v="7"/>
    <x v="52"/>
  </r>
  <r>
    <s v="20366"/>
    <d v="1899-12-30T14:22:36"/>
    <x v="1"/>
    <x v="0"/>
    <s v="0025"/>
    <n v="37.72"/>
    <x v="7"/>
    <x v="53"/>
  </r>
  <r>
    <s v="20367"/>
    <d v="1899-12-30T14:23:53"/>
    <x v="1"/>
    <x v="0"/>
    <s v="0024"/>
    <n v="32.82"/>
    <x v="3"/>
    <x v="53"/>
  </r>
  <r>
    <s v="20368"/>
    <d v="1899-12-30T14:24:58"/>
    <x v="1"/>
    <x v="0"/>
    <s v="0009"/>
    <n v="37.72"/>
    <x v="7"/>
    <x v="53"/>
  </r>
  <r>
    <s v="20369"/>
    <d v="1899-12-30T19:42:28"/>
    <x v="1"/>
    <x v="0"/>
    <s v="0130"/>
    <n v="32.82"/>
    <x v="3"/>
    <x v="53"/>
  </r>
  <r>
    <s v="20370"/>
    <d v="1899-12-30T19:43:26"/>
    <x v="1"/>
    <x v="0"/>
    <s v="0130"/>
    <n v="32.82"/>
    <x v="3"/>
    <x v="53"/>
  </r>
  <r>
    <s v="20371"/>
    <d v="1899-12-30T10:19:38"/>
    <x v="0"/>
    <x v="0"/>
    <s v="0001"/>
    <n v="37.72"/>
    <x v="0"/>
    <x v="54"/>
  </r>
  <r>
    <s v="20372"/>
    <d v="1899-12-30T10:21:27"/>
    <x v="0"/>
    <x v="0"/>
    <s v="0131"/>
    <n v="32.82"/>
    <x v="3"/>
    <x v="54"/>
  </r>
  <r>
    <s v="20373"/>
    <d v="1899-12-30T11:23:46"/>
    <x v="0"/>
    <x v="0"/>
    <s v="0132"/>
    <n v="32.82"/>
    <x v="3"/>
    <x v="54"/>
  </r>
  <r>
    <s v="20374"/>
    <d v="1899-12-30T11:33:26"/>
    <x v="0"/>
    <x v="0"/>
    <s v="0133"/>
    <n v="32.82"/>
    <x v="3"/>
    <x v="54"/>
  </r>
  <r>
    <s v="20375"/>
    <d v="1899-12-30T12:39:09"/>
    <x v="1"/>
    <x v="0"/>
    <s v="0059"/>
    <n v="32.82"/>
    <x v="3"/>
    <x v="54"/>
  </r>
  <r>
    <s v="20376"/>
    <d v="1899-12-30T16:39:07"/>
    <x v="1"/>
    <x v="0"/>
    <s v="0009"/>
    <n v="32.82"/>
    <x v="3"/>
    <x v="54"/>
  </r>
  <r>
    <s v="20377"/>
    <d v="1899-12-30T19:39:50"/>
    <x v="1"/>
    <x v="0"/>
    <s v="0134"/>
    <n v="32.82"/>
    <x v="3"/>
    <x v="54"/>
  </r>
  <r>
    <s v="20378"/>
    <d v="1899-12-30T19:40:54"/>
    <x v="1"/>
    <x v="0"/>
    <s v="0134"/>
    <n v="37.72"/>
    <x v="7"/>
    <x v="54"/>
  </r>
  <r>
    <s v="20379"/>
    <d v="1899-12-30T10:46:08"/>
    <x v="0"/>
    <x v="0"/>
    <s v="0135"/>
    <n v="27.92"/>
    <x v="2"/>
    <x v="55"/>
  </r>
  <r>
    <s v="20380"/>
    <d v="1899-12-30T15:18:27"/>
    <x v="1"/>
    <x v="0"/>
    <s v="0009"/>
    <n v="37.72"/>
    <x v="0"/>
    <x v="55"/>
  </r>
  <r>
    <s v="20381"/>
    <d v="1899-12-30T17:09:44"/>
    <x v="1"/>
    <x v="0"/>
    <s v="0012"/>
    <n v="27.92"/>
    <x v="2"/>
    <x v="55"/>
  </r>
  <r>
    <s v="20382"/>
    <d v="1899-12-30T17:10:49"/>
    <x v="1"/>
    <x v="0"/>
    <s v="0012"/>
    <n v="27.92"/>
    <x v="2"/>
    <x v="55"/>
  </r>
  <r>
    <s v="20383"/>
    <d v="1899-12-30T10:12:51"/>
    <x v="0"/>
    <x v="0"/>
    <s v="0001"/>
    <n v="37.72"/>
    <x v="0"/>
    <x v="56"/>
  </r>
  <r>
    <s v="20384"/>
    <d v="1899-12-30T12:01:31"/>
    <x v="1"/>
    <x v="0"/>
    <s v="0136"/>
    <n v="37.72"/>
    <x v="0"/>
    <x v="56"/>
  </r>
  <r>
    <s v="20385"/>
    <d v="1899-12-30T13:31:28"/>
    <x v="1"/>
    <x v="0"/>
    <s v="0137"/>
    <n v="37.72"/>
    <x v="7"/>
    <x v="56"/>
  </r>
  <r>
    <s v="20386"/>
    <d v="1899-12-30T15:32:35"/>
    <x v="1"/>
    <x v="0"/>
    <s v="0012"/>
    <n v="27.92"/>
    <x v="2"/>
    <x v="56"/>
  </r>
  <r>
    <s v="20387"/>
    <d v="1899-12-30T15:33:33"/>
    <x v="1"/>
    <x v="0"/>
    <s v="0012"/>
    <n v="27.92"/>
    <x v="2"/>
    <x v="56"/>
  </r>
  <r>
    <s v="20388"/>
    <d v="1899-12-30T16:23:27"/>
    <x v="1"/>
    <x v="0"/>
    <s v="0138"/>
    <n v="27.92"/>
    <x v="5"/>
    <x v="56"/>
  </r>
  <r>
    <s v="20389"/>
    <d v="1899-12-30T16:24:34"/>
    <x v="1"/>
    <x v="0"/>
    <s v="0139"/>
    <n v="27.92"/>
    <x v="2"/>
    <x v="56"/>
  </r>
  <r>
    <s v="20390"/>
    <d v="1899-12-30T19:32:07"/>
    <x v="1"/>
    <x v="0"/>
    <s v="0009"/>
    <n v="37.72"/>
    <x v="1"/>
    <x v="56"/>
  </r>
  <r>
    <s v="20391"/>
    <d v="1899-12-30T19:33:30"/>
    <x v="1"/>
    <x v="0"/>
    <s v="0009"/>
    <n v="37.72"/>
    <x v="4"/>
    <x v="56"/>
  </r>
  <r>
    <s v="20392"/>
    <d v="1899-12-30T15:27:01"/>
    <x v="1"/>
    <x v="0"/>
    <s v="0009"/>
    <n v="37.72"/>
    <x v="7"/>
    <x v="57"/>
  </r>
  <r>
    <s v="20393"/>
    <d v="1899-12-30T10:32:52"/>
    <x v="0"/>
    <x v="0"/>
    <s v="0001"/>
    <n v="37.72"/>
    <x v="0"/>
    <x v="58"/>
  </r>
  <r>
    <s v="20394"/>
    <d v="1899-12-30T12:30:10"/>
    <x v="1"/>
    <x v="0"/>
    <s v="0140"/>
    <n v="37.72"/>
    <x v="7"/>
    <x v="58"/>
  </r>
  <r>
    <s v="20395"/>
    <d v="1899-12-30T18:27:08"/>
    <x v="1"/>
    <x v="0"/>
    <s v="0012"/>
    <n v="27.92"/>
    <x v="2"/>
    <x v="58"/>
  </r>
  <r>
    <s v="20396"/>
    <d v="1899-12-30T18:28:11"/>
    <x v="1"/>
    <x v="0"/>
    <s v="0012"/>
    <n v="27.92"/>
    <x v="2"/>
    <x v="58"/>
  </r>
  <r>
    <s v="20397"/>
    <d v="1899-12-30T18:29:02"/>
    <x v="1"/>
    <x v="0"/>
    <s v="0019"/>
    <n v="37.72"/>
    <x v="0"/>
    <x v="58"/>
  </r>
  <r>
    <s v="20398"/>
    <d v="1899-12-30T11:26:32"/>
    <x v="0"/>
    <x v="0"/>
    <s v="0141"/>
    <n v="27.92"/>
    <x v="5"/>
    <x v="59"/>
  </r>
  <r>
    <s v="20399"/>
    <d v="1899-12-30T13:27:57"/>
    <x v="1"/>
    <x v="0"/>
    <s v="0003"/>
    <n v="27.92"/>
    <x v="2"/>
    <x v="59"/>
  </r>
  <r>
    <s v="20400"/>
    <d v="1899-12-30T13:28:54"/>
    <x v="1"/>
    <x v="0"/>
    <s v="0003"/>
    <n v="27.92"/>
    <x v="5"/>
    <x v="59"/>
  </r>
  <r>
    <s v="20401"/>
    <d v="1899-12-30T13:53:36"/>
    <x v="1"/>
    <x v="0"/>
    <s v="0141"/>
    <n v="27.92"/>
    <x v="5"/>
    <x v="59"/>
  </r>
  <r>
    <s v="20402"/>
    <d v="1899-12-30T13:54:24"/>
    <x v="1"/>
    <x v="0"/>
    <s v="0141"/>
    <n v="32.82"/>
    <x v="3"/>
    <x v="59"/>
  </r>
  <r>
    <s v="20403"/>
    <d v="1899-12-30T18:37:48"/>
    <x v="1"/>
    <x v="0"/>
    <s v="0140"/>
    <n v="37.72"/>
    <x v="7"/>
    <x v="59"/>
  </r>
  <r>
    <s v="20404"/>
    <d v="1899-12-30T19:12:33"/>
    <x v="1"/>
    <x v="0"/>
    <s v="0134"/>
    <n v="37.72"/>
    <x v="7"/>
    <x v="59"/>
  </r>
  <r>
    <s v="20405"/>
    <d v="1899-12-30T19:13:38"/>
    <x v="1"/>
    <x v="0"/>
    <s v="0134"/>
    <n v="37.72"/>
    <x v="7"/>
    <x v="59"/>
  </r>
  <r>
    <s v="20406"/>
    <d v="1899-12-30T10:16:41"/>
    <x v="0"/>
    <x v="0"/>
    <s v="0142"/>
    <n v="37.72"/>
    <x v="0"/>
    <x v="60"/>
  </r>
  <r>
    <s v="20407"/>
    <d v="1899-12-30T10:34:52"/>
    <x v="0"/>
    <x v="0"/>
    <s v="0142"/>
    <n v="32.82"/>
    <x v="3"/>
    <x v="60"/>
  </r>
  <r>
    <s v="20408"/>
    <d v="1899-12-30T10:35:48"/>
    <x v="0"/>
    <x v="0"/>
    <s v="0142"/>
    <n v="32.82"/>
    <x v="3"/>
    <x v="60"/>
  </r>
  <r>
    <s v="20409"/>
    <d v="1899-12-30T13:41:52"/>
    <x v="1"/>
    <x v="0"/>
    <s v="0142"/>
    <n v="27.92"/>
    <x v="2"/>
    <x v="60"/>
  </r>
  <r>
    <s v="20410"/>
    <d v="1899-12-30T13:43:00"/>
    <x v="1"/>
    <x v="0"/>
    <s v="0142"/>
    <n v="32.82"/>
    <x v="3"/>
    <x v="60"/>
  </r>
  <r>
    <s v="20411"/>
    <d v="1899-12-30T19:19:18"/>
    <x v="1"/>
    <x v="0"/>
    <s v="0142"/>
    <n v="37.72"/>
    <x v="7"/>
    <x v="60"/>
  </r>
  <r>
    <s v="20412"/>
    <d v="1899-12-30T19:30:04"/>
    <x v="1"/>
    <x v="0"/>
    <s v="0142"/>
    <n v="32.82"/>
    <x v="3"/>
    <x v="60"/>
  </r>
  <r>
    <s v="20413"/>
    <d v="1899-12-30T19:31:21"/>
    <x v="1"/>
    <x v="0"/>
    <s v="0142"/>
    <n v="37.72"/>
    <x v="0"/>
    <x v="60"/>
  </r>
  <r>
    <s v="20414"/>
    <d v="1899-12-30T10:33:56"/>
    <x v="0"/>
    <x v="0"/>
    <s v="0143"/>
    <n v="27.92"/>
    <x v="2"/>
    <x v="61"/>
  </r>
  <r>
    <s v="20415"/>
    <d v="1899-12-30T11:29:57"/>
    <x v="0"/>
    <x v="1"/>
    <s v="Cash"/>
    <n v="39"/>
    <x v="0"/>
    <x v="61"/>
  </r>
  <r>
    <s v="20416"/>
    <d v="1899-12-30T13:49:40"/>
    <x v="1"/>
    <x v="0"/>
    <s v="0133"/>
    <n v="32.82"/>
    <x v="3"/>
    <x v="61"/>
  </r>
  <r>
    <s v="20417"/>
    <d v="1899-12-30T18:36:22"/>
    <x v="1"/>
    <x v="0"/>
    <s v="0144"/>
    <n v="37.72"/>
    <x v="7"/>
    <x v="61"/>
  </r>
  <r>
    <s v="20418"/>
    <d v="1899-12-30T18:41:11"/>
    <x v="1"/>
    <x v="0"/>
    <s v="0024"/>
    <n v="32.82"/>
    <x v="3"/>
    <x v="61"/>
  </r>
  <r>
    <s v="20419"/>
    <d v="1899-12-30T19:18:33"/>
    <x v="1"/>
    <x v="0"/>
    <s v="0145"/>
    <n v="37.72"/>
    <x v="0"/>
    <x v="61"/>
  </r>
  <r>
    <s v="20420"/>
    <d v="1899-12-30T19:19:56"/>
    <x v="1"/>
    <x v="0"/>
    <s v="0145"/>
    <n v="37.72"/>
    <x v="7"/>
    <x v="61"/>
  </r>
  <r>
    <s v="20421"/>
    <d v="1899-12-30T10:11:53"/>
    <x v="0"/>
    <x v="1"/>
    <s v="Cash"/>
    <n v="39"/>
    <x v="0"/>
    <x v="62"/>
  </r>
  <r>
    <s v="20422"/>
    <d v="1899-12-30T14:30:01"/>
    <x v="1"/>
    <x v="0"/>
    <s v="0146"/>
    <n v="37.72"/>
    <x v="0"/>
    <x v="62"/>
  </r>
  <r>
    <s v="20423"/>
    <d v="1899-12-30T17:03:25"/>
    <x v="1"/>
    <x v="0"/>
    <s v="0147"/>
    <n v="37.72"/>
    <x v="0"/>
    <x v="62"/>
  </r>
  <r>
    <s v="20424"/>
    <d v="1899-12-30T10:05:18"/>
    <x v="0"/>
    <x v="0"/>
    <s v="0148"/>
    <n v="27.92"/>
    <x v="2"/>
    <x v="63"/>
  </r>
  <r>
    <s v="20425"/>
    <d v="1899-12-30T10:06:52"/>
    <x v="0"/>
    <x v="0"/>
    <s v="0149"/>
    <n v="37.72"/>
    <x v="7"/>
    <x v="63"/>
  </r>
  <r>
    <s v="20426"/>
    <d v="1899-12-30T10:08:06"/>
    <x v="0"/>
    <x v="0"/>
    <s v="0149"/>
    <n v="32.82"/>
    <x v="3"/>
    <x v="63"/>
  </r>
  <r>
    <s v="20427"/>
    <d v="1899-12-30T10:09:08"/>
    <x v="0"/>
    <x v="0"/>
    <s v="0150"/>
    <n v="27.92"/>
    <x v="2"/>
    <x v="63"/>
  </r>
  <r>
    <s v="20428"/>
    <d v="1899-12-30T10:39:13"/>
    <x v="0"/>
    <x v="0"/>
    <s v="0141"/>
    <n v="27.92"/>
    <x v="5"/>
    <x v="63"/>
  </r>
  <r>
    <s v="20429"/>
    <d v="1899-12-30T11:34:21"/>
    <x v="0"/>
    <x v="1"/>
    <s v="Cash"/>
    <n v="29"/>
    <x v="2"/>
    <x v="63"/>
  </r>
  <r>
    <s v="20430"/>
    <d v="1899-12-30T13:18:11"/>
    <x v="1"/>
    <x v="0"/>
    <s v="0148"/>
    <n v="27.92"/>
    <x v="5"/>
    <x v="63"/>
  </r>
  <r>
    <s v="20431"/>
    <d v="1899-12-30T13:19:01"/>
    <x v="1"/>
    <x v="0"/>
    <s v="0148"/>
    <n v="27.92"/>
    <x v="2"/>
    <x v="63"/>
  </r>
  <r>
    <s v="20432"/>
    <d v="1899-12-30T19:18:13"/>
    <x v="1"/>
    <x v="0"/>
    <s v="0151"/>
    <n v="37.72"/>
    <x v="7"/>
    <x v="63"/>
  </r>
  <r>
    <s v="20433"/>
    <d v="1899-12-30T19:19:50"/>
    <x v="1"/>
    <x v="0"/>
    <s v="0151"/>
    <n v="37.72"/>
    <x v="7"/>
    <x v="63"/>
  </r>
  <r>
    <s v="20434"/>
    <d v="1899-12-30T10:44:56"/>
    <x v="0"/>
    <x v="0"/>
    <s v="0148"/>
    <n v="37.72"/>
    <x v="4"/>
    <x v="64"/>
  </r>
  <r>
    <s v="20435"/>
    <d v="1899-12-30T11:21:58"/>
    <x v="0"/>
    <x v="0"/>
    <s v="0141"/>
    <n v="27.92"/>
    <x v="5"/>
    <x v="64"/>
  </r>
  <r>
    <s v="20436"/>
    <d v="1899-12-30T13:23:35"/>
    <x v="1"/>
    <x v="0"/>
    <s v="0077"/>
    <n v="27.92"/>
    <x v="5"/>
    <x v="64"/>
  </r>
  <r>
    <s v="20437"/>
    <d v="1899-12-30T16:42:08"/>
    <x v="1"/>
    <x v="0"/>
    <s v="0148"/>
    <n v="37.72"/>
    <x v="4"/>
    <x v="64"/>
  </r>
  <r>
    <s v="20438"/>
    <d v="1899-12-30T16:55:39"/>
    <x v="1"/>
    <x v="0"/>
    <s v="0152"/>
    <n v="27.92"/>
    <x v="2"/>
    <x v="64"/>
  </r>
  <r>
    <s v="20439"/>
    <d v="1899-12-30T17:37:46"/>
    <x v="1"/>
    <x v="0"/>
    <s v="0153"/>
    <n v="37.72"/>
    <x v="7"/>
    <x v="64"/>
  </r>
  <r>
    <s v="20440"/>
    <d v="1899-12-30T17:38:48"/>
    <x v="1"/>
    <x v="0"/>
    <s v="0153"/>
    <n v="37.72"/>
    <x v="0"/>
    <x v="64"/>
  </r>
  <r>
    <s v="20441"/>
    <d v="1899-12-30T18:35:37"/>
    <x v="1"/>
    <x v="1"/>
    <s v="Cash"/>
    <n v="34"/>
    <x v="3"/>
    <x v="64"/>
  </r>
  <r>
    <s v="20442"/>
    <d v="1899-12-30T19:12:13"/>
    <x v="1"/>
    <x v="0"/>
    <s v="0154"/>
    <n v="37.72"/>
    <x v="7"/>
    <x v="64"/>
  </r>
  <r>
    <s v="20443"/>
    <d v="1899-12-30T19:13:12"/>
    <x v="1"/>
    <x v="0"/>
    <s v="0154"/>
    <n v="37.72"/>
    <x v="7"/>
    <x v="64"/>
  </r>
  <r>
    <s v="20444"/>
    <d v="1899-12-30T10:07:29"/>
    <x v="0"/>
    <x v="0"/>
    <s v="0001"/>
    <n v="37.72"/>
    <x v="0"/>
    <x v="65"/>
  </r>
  <r>
    <s v="20445"/>
    <d v="1899-12-30T12:54:22"/>
    <x v="1"/>
    <x v="0"/>
    <s v="0155"/>
    <n v="37.72"/>
    <x v="7"/>
    <x v="66"/>
  </r>
  <r>
    <s v="20446"/>
    <d v="1899-12-30T13:03:59"/>
    <x v="1"/>
    <x v="0"/>
    <s v="0156"/>
    <n v="27.92"/>
    <x v="2"/>
    <x v="66"/>
  </r>
  <r>
    <s v="20447"/>
    <d v="1899-12-30T13:04:58"/>
    <x v="1"/>
    <x v="0"/>
    <s v="0156"/>
    <n v="37.72"/>
    <x v="0"/>
    <x v="66"/>
  </r>
  <r>
    <s v="20448"/>
    <d v="1899-12-30T13:06:11"/>
    <x v="1"/>
    <x v="0"/>
    <s v="0156"/>
    <n v="37.72"/>
    <x v="0"/>
    <x v="66"/>
  </r>
  <r>
    <s v="20449"/>
    <d v="1899-12-30T13:07:16"/>
    <x v="1"/>
    <x v="0"/>
    <s v="0156"/>
    <n v="37.72"/>
    <x v="0"/>
    <x v="66"/>
  </r>
  <r>
    <s v="20450"/>
    <d v="1899-12-30T16:55:15"/>
    <x v="1"/>
    <x v="0"/>
    <s v="0118"/>
    <n v="27.92"/>
    <x v="2"/>
    <x v="66"/>
  </r>
  <r>
    <s v="20451"/>
    <d v="1899-12-30T16:56:15"/>
    <x v="1"/>
    <x v="0"/>
    <s v="0118"/>
    <n v="27.92"/>
    <x v="2"/>
    <x v="66"/>
  </r>
  <r>
    <s v="20452"/>
    <d v="1899-12-30T18:01:30"/>
    <x v="1"/>
    <x v="0"/>
    <s v="0157"/>
    <n v="27.92"/>
    <x v="2"/>
    <x v="66"/>
  </r>
  <r>
    <s v="20453"/>
    <d v="1899-12-30T18:13:56"/>
    <x v="1"/>
    <x v="0"/>
    <s v="0143"/>
    <n v="32.82"/>
    <x v="3"/>
    <x v="66"/>
  </r>
  <r>
    <s v="20454"/>
    <d v="1899-12-30T10:09:22"/>
    <x v="0"/>
    <x v="1"/>
    <s v="Cash"/>
    <n v="39"/>
    <x v="0"/>
    <x v="67"/>
  </r>
  <r>
    <s v="20455"/>
    <d v="1899-12-30T15:46:22"/>
    <x v="1"/>
    <x v="0"/>
    <s v="0158"/>
    <n v="37.72"/>
    <x v="0"/>
    <x v="67"/>
  </r>
  <r>
    <s v="20456"/>
    <d v="1899-12-30T15:47:33"/>
    <x v="1"/>
    <x v="0"/>
    <s v="0158"/>
    <n v="37.72"/>
    <x v="0"/>
    <x v="67"/>
  </r>
  <r>
    <s v="20457"/>
    <d v="1899-12-30T16:20:15"/>
    <x v="1"/>
    <x v="1"/>
    <s v="Cash"/>
    <n v="34"/>
    <x v="3"/>
    <x v="67"/>
  </r>
  <r>
    <s v="20458"/>
    <d v="1899-12-30T11:39:53"/>
    <x v="0"/>
    <x v="0"/>
    <s v="0069"/>
    <n v="37.72"/>
    <x v="0"/>
    <x v="68"/>
  </r>
  <r>
    <s v="20459"/>
    <d v="1899-12-30T17:02:44"/>
    <x v="1"/>
    <x v="1"/>
    <s v="Cash"/>
    <n v="39"/>
    <x v="0"/>
    <x v="68"/>
  </r>
  <r>
    <s v="20460"/>
    <d v="1899-12-30T17:20:30"/>
    <x v="1"/>
    <x v="0"/>
    <s v="0009"/>
    <n v="32.82"/>
    <x v="3"/>
    <x v="68"/>
  </r>
  <r>
    <s v="20461"/>
    <d v="1899-12-30T17:21:56"/>
    <x v="1"/>
    <x v="0"/>
    <s v="0026"/>
    <n v="37.72"/>
    <x v="4"/>
    <x v="68"/>
  </r>
  <r>
    <s v="20462"/>
    <d v="1899-12-30T17:23:57"/>
    <x v="1"/>
    <x v="0"/>
    <s v="0040"/>
    <n v="37.72"/>
    <x v="7"/>
    <x v="68"/>
  </r>
  <r>
    <s v="20463"/>
    <d v="1899-12-30T17:28:54"/>
    <x v="1"/>
    <x v="0"/>
    <s v="0012"/>
    <n v="32.82"/>
    <x v="3"/>
    <x v="68"/>
  </r>
  <r>
    <s v="20464"/>
    <d v="1899-12-30T18:35:40"/>
    <x v="1"/>
    <x v="0"/>
    <s v="0115"/>
    <n v="37.72"/>
    <x v="7"/>
    <x v="68"/>
  </r>
  <r>
    <s v="20465"/>
    <d v="1899-12-30T19:38:16"/>
    <x v="1"/>
    <x v="0"/>
    <s v="0159"/>
    <n v="37.72"/>
    <x v="0"/>
    <x v="68"/>
  </r>
  <r>
    <s v="20466"/>
    <d v="1899-12-30T10:20:43"/>
    <x v="0"/>
    <x v="0"/>
    <s v="0001"/>
    <n v="37.72"/>
    <x v="0"/>
    <x v="69"/>
  </r>
  <r>
    <s v="20467"/>
    <d v="1899-12-30T13:24:03"/>
    <x v="1"/>
    <x v="0"/>
    <s v="0160"/>
    <n v="37.72"/>
    <x v="0"/>
    <x v="69"/>
  </r>
  <r>
    <s v="20468"/>
    <d v="1899-12-30T13:27:39"/>
    <x v="1"/>
    <x v="0"/>
    <s v="0161"/>
    <n v="27.92"/>
    <x v="2"/>
    <x v="69"/>
  </r>
  <r>
    <s v="20469"/>
    <d v="1899-12-30T15:16:20"/>
    <x v="1"/>
    <x v="0"/>
    <s v="0077"/>
    <n v="37.72"/>
    <x v="0"/>
    <x v="69"/>
  </r>
  <r>
    <s v="20470"/>
    <d v="1899-12-30T15:38:02"/>
    <x v="1"/>
    <x v="0"/>
    <s v="0162"/>
    <n v="32.82"/>
    <x v="3"/>
    <x v="69"/>
  </r>
  <r>
    <s v="20471"/>
    <d v="1899-12-30T15:52:15"/>
    <x v="1"/>
    <x v="0"/>
    <s v="0163"/>
    <n v="32.82"/>
    <x v="3"/>
    <x v="69"/>
  </r>
  <r>
    <s v="20472"/>
    <d v="1899-12-30T16:04:21"/>
    <x v="1"/>
    <x v="0"/>
    <s v="0012"/>
    <n v="32.82"/>
    <x v="3"/>
    <x v="69"/>
  </r>
  <r>
    <s v="20473"/>
    <d v="1899-12-30T19:41:31"/>
    <x v="1"/>
    <x v="0"/>
    <s v="0009"/>
    <n v="32.82"/>
    <x v="3"/>
    <x v="69"/>
  </r>
  <r>
    <s v="20474"/>
    <d v="1899-12-30T11:03:53"/>
    <x v="0"/>
    <x v="0"/>
    <s v="0164"/>
    <n v="32.82"/>
    <x v="3"/>
    <x v="70"/>
  </r>
  <r>
    <s v="20475"/>
    <d v="1899-12-30T15:31:11"/>
    <x v="1"/>
    <x v="1"/>
    <s v="Cash"/>
    <n v="29"/>
    <x v="2"/>
    <x v="70"/>
  </r>
  <r>
    <s v="20476"/>
    <d v="1899-12-30T15:31:51"/>
    <x v="1"/>
    <x v="1"/>
    <s v="Cash"/>
    <n v="29"/>
    <x v="2"/>
    <x v="70"/>
  </r>
  <r>
    <s v="20477"/>
    <d v="1899-12-30T08:38:15"/>
    <x v="0"/>
    <x v="0"/>
    <s v="0012"/>
    <n v="27.92"/>
    <x v="2"/>
    <x v="71"/>
  </r>
  <r>
    <s v="20478"/>
    <d v="1899-12-30T08:39:25"/>
    <x v="0"/>
    <x v="0"/>
    <s v="0012"/>
    <n v="27.92"/>
    <x v="2"/>
    <x v="71"/>
  </r>
  <r>
    <s v="20479"/>
    <d v="1899-12-30T08:40:17"/>
    <x v="0"/>
    <x v="0"/>
    <s v="0012"/>
    <n v="27.92"/>
    <x v="2"/>
    <x v="71"/>
  </r>
  <r>
    <s v="20480"/>
    <d v="1899-12-30T10:19:23"/>
    <x v="0"/>
    <x v="0"/>
    <s v="0012"/>
    <n v="37.72"/>
    <x v="7"/>
    <x v="71"/>
  </r>
  <r>
    <s v="20481"/>
    <d v="1899-12-30T11:32:29"/>
    <x v="0"/>
    <x v="0"/>
    <s v="0165"/>
    <n v="37.72"/>
    <x v="0"/>
    <x v="71"/>
  </r>
  <r>
    <s v="20482"/>
    <d v="1899-12-30T11:34:13"/>
    <x v="0"/>
    <x v="0"/>
    <s v="0165"/>
    <n v="37.72"/>
    <x v="7"/>
    <x v="71"/>
  </r>
  <r>
    <s v="20483"/>
    <d v="1899-12-30T14:04:55"/>
    <x v="1"/>
    <x v="0"/>
    <s v="0025"/>
    <n v="37.72"/>
    <x v="7"/>
    <x v="71"/>
  </r>
  <r>
    <s v="20484"/>
    <d v="1899-12-30T14:06:00"/>
    <x v="1"/>
    <x v="0"/>
    <s v="0009"/>
    <n v="32.82"/>
    <x v="3"/>
    <x v="71"/>
  </r>
  <r>
    <s v="20485"/>
    <d v="1899-12-30T15:01:55"/>
    <x v="1"/>
    <x v="0"/>
    <s v="0040"/>
    <n v="27.92"/>
    <x v="2"/>
    <x v="71"/>
  </r>
  <r>
    <s v="20486"/>
    <d v="1899-12-30T16:57:57"/>
    <x v="1"/>
    <x v="0"/>
    <s v="0166"/>
    <n v="32.82"/>
    <x v="3"/>
    <x v="71"/>
  </r>
  <r>
    <s v="20487"/>
    <d v="1899-12-30T16:59:10"/>
    <x v="1"/>
    <x v="0"/>
    <s v="0166"/>
    <n v="37.72"/>
    <x v="7"/>
    <x v="71"/>
  </r>
  <r>
    <s v="20488"/>
    <d v="1899-12-30T22:51:25"/>
    <x v="1"/>
    <x v="0"/>
    <s v="0167"/>
    <n v="37.72"/>
    <x v="1"/>
    <x v="71"/>
  </r>
  <r>
    <s v="20489"/>
    <d v="1899-12-30T08:40:06"/>
    <x v="0"/>
    <x v="0"/>
    <s v="0168"/>
    <n v="37.72"/>
    <x v="0"/>
    <x v="72"/>
  </r>
  <r>
    <s v="20490"/>
    <d v="1899-12-30T11:14:19"/>
    <x v="0"/>
    <x v="0"/>
    <s v="0012"/>
    <n v="23.02"/>
    <x v="6"/>
    <x v="72"/>
  </r>
  <r>
    <s v="20491"/>
    <d v="1899-12-30T11:19:10"/>
    <x v="0"/>
    <x v="0"/>
    <s v="0012"/>
    <n v="27.92"/>
    <x v="2"/>
    <x v="72"/>
  </r>
  <r>
    <s v="20492"/>
    <d v="1899-12-30T13:34:35"/>
    <x v="1"/>
    <x v="0"/>
    <s v="0003"/>
    <n v="27.92"/>
    <x v="2"/>
    <x v="72"/>
  </r>
  <r>
    <s v="20493"/>
    <d v="1899-12-30T13:35:29"/>
    <x v="1"/>
    <x v="0"/>
    <s v="0003"/>
    <n v="27.92"/>
    <x v="2"/>
    <x v="72"/>
  </r>
  <r>
    <s v="20494"/>
    <d v="1899-12-30T13:36:27"/>
    <x v="1"/>
    <x v="0"/>
    <s v="0003"/>
    <n v="27.92"/>
    <x v="2"/>
    <x v="72"/>
  </r>
  <r>
    <s v="20495"/>
    <d v="1899-12-30T13:55:29"/>
    <x v="1"/>
    <x v="0"/>
    <s v="0164"/>
    <n v="32.82"/>
    <x v="3"/>
    <x v="72"/>
  </r>
  <r>
    <s v="20496"/>
    <d v="1899-12-30T14:38:11"/>
    <x v="1"/>
    <x v="1"/>
    <s v="Cash"/>
    <n v="29"/>
    <x v="2"/>
    <x v="72"/>
  </r>
  <r>
    <s v="20497"/>
    <d v="1899-12-30T14:38:52"/>
    <x v="1"/>
    <x v="0"/>
    <s v="0169"/>
    <n v="27.92"/>
    <x v="5"/>
    <x v="72"/>
  </r>
  <r>
    <s v="20498"/>
    <d v="1899-12-30T14:39:44"/>
    <x v="1"/>
    <x v="0"/>
    <s v="0012"/>
    <n v="27.92"/>
    <x v="5"/>
    <x v="72"/>
  </r>
  <r>
    <s v="20499"/>
    <d v="1899-12-30T17:28:59"/>
    <x v="1"/>
    <x v="0"/>
    <s v="0170"/>
    <n v="23.02"/>
    <x v="6"/>
    <x v="72"/>
  </r>
  <r>
    <s v="20500"/>
    <d v="1899-12-30T20:20:35"/>
    <x v="1"/>
    <x v="0"/>
    <s v="0171"/>
    <n v="37.72"/>
    <x v="7"/>
    <x v="72"/>
  </r>
  <r>
    <s v="20501"/>
    <d v="1899-12-30T10:38:42"/>
    <x v="0"/>
    <x v="0"/>
    <s v="0097"/>
    <n v="32.82"/>
    <x v="3"/>
    <x v="73"/>
  </r>
  <r>
    <s v="20502"/>
    <d v="1899-12-30T10:39:49"/>
    <x v="0"/>
    <x v="0"/>
    <s v="0172"/>
    <n v="32.82"/>
    <x v="3"/>
    <x v="73"/>
  </r>
  <r>
    <s v="20503"/>
    <d v="1899-12-30T11:42:50"/>
    <x v="0"/>
    <x v="1"/>
    <s v="Cash"/>
    <n v="39"/>
    <x v="0"/>
    <x v="73"/>
  </r>
  <r>
    <s v="20504"/>
    <d v="1899-12-30T11:44:21"/>
    <x v="0"/>
    <x v="1"/>
    <s v="Cash"/>
    <n v="39"/>
    <x v="7"/>
    <x v="73"/>
  </r>
  <r>
    <s v="20505"/>
    <d v="1899-12-30T12:14:00"/>
    <x v="1"/>
    <x v="0"/>
    <s v="0173"/>
    <n v="32.82"/>
    <x v="3"/>
    <x v="73"/>
  </r>
  <r>
    <s v="20506"/>
    <d v="1899-12-30T15:15:16"/>
    <x v="1"/>
    <x v="0"/>
    <s v="0174"/>
    <n v="37.72"/>
    <x v="1"/>
    <x v="73"/>
  </r>
  <r>
    <s v="20507"/>
    <d v="1899-12-30T17:44:32"/>
    <x v="1"/>
    <x v="0"/>
    <s v="0069"/>
    <n v="37.72"/>
    <x v="0"/>
    <x v="73"/>
  </r>
  <r>
    <s v="20508"/>
    <d v="1899-12-30T18:12:57"/>
    <x v="1"/>
    <x v="0"/>
    <s v="0175"/>
    <n v="37.72"/>
    <x v="1"/>
    <x v="73"/>
  </r>
  <r>
    <s v="20509"/>
    <d v="1899-12-30T18:13:58"/>
    <x v="1"/>
    <x v="0"/>
    <s v="0175"/>
    <n v="37.72"/>
    <x v="0"/>
    <x v="73"/>
  </r>
  <r>
    <s v="20510"/>
    <d v="1899-12-30T09:00:48"/>
    <x v="0"/>
    <x v="0"/>
    <s v="0033"/>
    <n v="27.92"/>
    <x v="2"/>
    <x v="74"/>
  </r>
  <r>
    <s v="20511"/>
    <d v="1899-12-30T11:30:28"/>
    <x v="0"/>
    <x v="0"/>
    <s v="0164"/>
    <n v="32.82"/>
    <x v="3"/>
    <x v="74"/>
  </r>
  <r>
    <s v="20512"/>
    <d v="1899-12-30T14:58:03"/>
    <x v="1"/>
    <x v="1"/>
    <s v="Cash"/>
    <n v="34"/>
    <x v="3"/>
    <x v="74"/>
  </r>
  <r>
    <s v="20513"/>
    <d v="1899-12-30T19:55:19"/>
    <x v="1"/>
    <x v="0"/>
    <s v="0012"/>
    <n v="32.82"/>
    <x v="3"/>
    <x v="74"/>
  </r>
  <r>
    <s v="20514"/>
    <d v="1899-12-30T19:56:47"/>
    <x v="1"/>
    <x v="0"/>
    <s v="0009"/>
    <n v="37.72"/>
    <x v="7"/>
    <x v="74"/>
  </r>
  <r>
    <s v="20515"/>
    <d v="1899-12-30T20:37:53"/>
    <x v="1"/>
    <x v="0"/>
    <s v="0176"/>
    <n v="37.72"/>
    <x v="7"/>
    <x v="74"/>
  </r>
  <r>
    <s v="20516"/>
    <d v="1899-12-30T22:34:51"/>
    <x v="1"/>
    <x v="0"/>
    <s v="0177"/>
    <n v="27.92"/>
    <x v="2"/>
    <x v="74"/>
  </r>
  <r>
    <s v="20517"/>
    <d v="1899-12-30T22:36:33"/>
    <x v="1"/>
    <x v="0"/>
    <s v="0178"/>
    <n v="37.72"/>
    <x v="0"/>
    <x v="74"/>
  </r>
  <r>
    <s v="20518"/>
    <d v="1899-12-30T22:37:43"/>
    <x v="1"/>
    <x v="0"/>
    <s v="0179"/>
    <n v="37.72"/>
    <x v="0"/>
    <x v="74"/>
  </r>
  <r>
    <s v="20519"/>
    <d v="1899-12-30T08:01:38"/>
    <x v="0"/>
    <x v="0"/>
    <s v="0180"/>
    <n v="37.72"/>
    <x v="7"/>
    <x v="75"/>
  </r>
  <r>
    <s v="20520"/>
    <d v="1899-12-30T08:02:40"/>
    <x v="0"/>
    <x v="0"/>
    <s v="0180"/>
    <n v="37.72"/>
    <x v="7"/>
    <x v="75"/>
  </r>
  <r>
    <s v="20521"/>
    <d v="1899-12-30T11:15:56"/>
    <x v="0"/>
    <x v="0"/>
    <s v="0181"/>
    <n v="32.82"/>
    <x v="3"/>
    <x v="75"/>
  </r>
  <r>
    <s v="20522"/>
    <d v="1899-12-30T16:48:29"/>
    <x v="1"/>
    <x v="0"/>
    <s v="0172"/>
    <n v="32.82"/>
    <x v="3"/>
    <x v="75"/>
  </r>
  <r>
    <s v="20523"/>
    <d v="1899-12-30T16:49:27"/>
    <x v="1"/>
    <x v="0"/>
    <s v="0097"/>
    <n v="32.82"/>
    <x v="3"/>
    <x v="75"/>
  </r>
  <r>
    <s v="20524"/>
    <d v="1899-12-30T19:58:44"/>
    <x v="1"/>
    <x v="0"/>
    <s v="0040"/>
    <n v="32.82"/>
    <x v="3"/>
    <x v="75"/>
  </r>
  <r>
    <s v="20525"/>
    <d v="1899-12-30T20:22:53"/>
    <x v="1"/>
    <x v="0"/>
    <s v="0009"/>
    <n v="37.72"/>
    <x v="0"/>
    <x v="75"/>
  </r>
  <r>
    <s v="20526"/>
    <d v="1899-12-30T22:05:27"/>
    <x v="1"/>
    <x v="1"/>
    <s v="Cash"/>
    <n v="39"/>
    <x v="7"/>
    <x v="75"/>
  </r>
  <r>
    <s v="20527"/>
    <d v="1899-12-30T07:58:38"/>
    <x v="0"/>
    <x v="0"/>
    <s v="0182"/>
    <n v="27.92"/>
    <x v="2"/>
    <x v="76"/>
  </r>
  <r>
    <s v="20528"/>
    <d v="1899-12-30T07:59:34"/>
    <x v="0"/>
    <x v="0"/>
    <s v="0182"/>
    <n v="27.92"/>
    <x v="2"/>
    <x v="76"/>
  </r>
  <r>
    <s v="20529"/>
    <d v="1899-12-30T08:00:35"/>
    <x v="0"/>
    <x v="0"/>
    <s v="0183"/>
    <n v="37.72"/>
    <x v="7"/>
    <x v="76"/>
  </r>
  <r>
    <s v="20530"/>
    <d v="1899-12-30T09:28:50"/>
    <x v="0"/>
    <x v="1"/>
    <s v="Cash"/>
    <n v="24"/>
    <x v="6"/>
    <x v="76"/>
  </r>
  <r>
    <s v="20531"/>
    <d v="1899-12-30T12:14:27"/>
    <x v="1"/>
    <x v="0"/>
    <s v="0184"/>
    <n v="32.82"/>
    <x v="3"/>
    <x v="76"/>
  </r>
  <r>
    <s v="20532"/>
    <d v="1899-12-30T14:43:40"/>
    <x v="1"/>
    <x v="0"/>
    <s v="0012"/>
    <n v="27.92"/>
    <x v="2"/>
    <x v="76"/>
  </r>
  <r>
    <s v="20533"/>
    <d v="1899-12-30T15:58:58"/>
    <x v="1"/>
    <x v="0"/>
    <s v="0185"/>
    <n v="32.82"/>
    <x v="3"/>
    <x v="76"/>
  </r>
  <r>
    <s v="20534"/>
    <d v="1899-12-30T18:12:36"/>
    <x v="1"/>
    <x v="0"/>
    <s v="0186"/>
    <n v="32.82"/>
    <x v="3"/>
    <x v="76"/>
  </r>
  <r>
    <s v="20535"/>
    <d v="1899-12-30T18:13:48"/>
    <x v="1"/>
    <x v="0"/>
    <s v="0186"/>
    <n v="23.02"/>
    <x v="6"/>
    <x v="76"/>
  </r>
  <r>
    <s v="20536"/>
    <d v="1899-12-30T18:16:30"/>
    <x v="1"/>
    <x v="0"/>
    <s v="0186"/>
    <n v="37.72"/>
    <x v="1"/>
    <x v="76"/>
  </r>
  <r>
    <s v="20537"/>
    <d v="1899-12-30T19:51:07"/>
    <x v="1"/>
    <x v="0"/>
    <s v="0187"/>
    <n v="37.72"/>
    <x v="7"/>
    <x v="76"/>
  </r>
  <r>
    <s v="20538"/>
    <d v="1899-12-30T21:15:42"/>
    <x v="1"/>
    <x v="0"/>
    <s v="0188"/>
    <n v="37.72"/>
    <x v="7"/>
    <x v="76"/>
  </r>
  <r>
    <s v="20539"/>
    <d v="1899-12-30T21:18:36"/>
    <x v="1"/>
    <x v="0"/>
    <s v="0189"/>
    <n v="37.72"/>
    <x v="7"/>
    <x v="76"/>
  </r>
  <r>
    <s v="20540"/>
    <d v="1899-12-30T10:05:59"/>
    <x v="0"/>
    <x v="0"/>
    <s v="0190"/>
    <n v="32.82"/>
    <x v="3"/>
    <x v="77"/>
  </r>
  <r>
    <s v="20541"/>
    <d v="1899-12-30T10:17:52"/>
    <x v="0"/>
    <x v="0"/>
    <s v="0191"/>
    <n v="37.72"/>
    <x v="0"/>
    <x v="77"/>
  </r>
  <r>
    <s v="20542"/>
    <d v="1899-12-30T10:58:48"/>
    <x v="0"/>
    <x v="0"/>
    <s v="0001"/>
    <n v="37.72"/>
    <x v="0"/>
    <x v="77"/>
  </r>
  <r>
    <s v="20543"/>
    <d v="1899-12-30T11:15:16"/>
    <x v="0"/>
    <x v="0"/>
    <s v="0143"/>
    <n v="27.92"/>
    <x v="2"/>
    <x v="77"/>
  </r>
  <r>
    <s v="20544"/>
    <d v="1899-12-30T11:16:20"/>
    <x v="0"/>
    <x v="0"/>
    <s v="0143"/>
    <n v="27.92"/>
    <x v="2"/>
    <x v="77"/>
  </r>
  <r>
    <s v="20545"/>
    <d v="1899-12-30T13:27:13"/>
    <x v="1"/>
    <x v="0"/>
    <s v="0003"/>
    <n v="27.92"/>
    <x v="2"/>
    <x v="77"/>
  </r>
  <r>
    <s v="20546"/>
    <d v="1899-12-30T13:28:10"/>
    <x v="1"/>
    <x v="0"/>
    <s v="0003"/>
    <n v="27.92"/>
    <x v="2"/>
    <x v="77"/>
  </r>
  <r>
    <s v="20547"/>
    <d v="1899-12-30T14:13:19"/>
    <x v="1"/>
    <x v="0"/>
    <s v="0192"/>
    <n v="32.82"/>
    <x v="3"/>
    <x v="77"/>
  </r>
  <r>
    <s v="20548"/>
    <d v="1899-12-30T14:14:31"/>
    <x v="1"/>
    <x v="0"/>
    <s v="0192"/>
    <n v="37.72"/>
    <x v="7"/>
    <x v="77"/>
  </r>
  <r>
    <s v="20549"/>
    <d v="1899-12-30T14:32:21"/>
    <x v="1"/>
    <x v="1"/>
    <s v="Cash"/>
    <n v="29"/>
    <x v="2"/>
    <x v="77"/>
  </r>
  <r>
    <s v="20550"/>
    <d v="1899-12-30T17:12:51"/>
    <x v="1"/>
    <x v="0"/>
    <s v="0120"/>
    <n v="37.72"/>
    <x v="0"/>
    <x v="77"/>
  </r>
  <r>
    <s v="20551"/>
    <d v="1899-12-30T17:13:57"/>
    <x v="1"/>
    <x v="0"/>
    <s v="0193"/>
    <n v="37.72"/>
    <x v="0"/>
    <x v="77"/>
  </r>
  <r>
    <s v="20552"/>
    <d v="1899-12-30T20:36:48"/>
    <x v="1"/>
    <x v="0"/>
    <s v="0194"/>
    <n v="32.82"/>
    <x v="3"/>
    <x v="77"/>
  </r>
  <r>
    <s v="20553"/>
    <d v="1899-12-30T20:37:57"/>
    <x v="1"/>
    <x v="0"/>
    <s v="0194"/>
    <n v="37.72"/>
    <x v="4"/>
    <x v="77"/>
  </r>
  <r>
    <s v="20554"/>
    <d v="1899-12-30T20:46:52"/>
    <x v="1"/>
    <x v="0"/>
    <s v="0195"/>
    <n v="27.92"/>
    <x v="5"/>
    <x v="77"/>
  </r>
  <r>
    <s v="20555"/>
    <d v="1899-12-30T21:36:54"/>
    <x v="1"/>
    <x v="0"/>
    <s v="0012"/>
    <n v="32.82"/>
    <x v="3"/>
    <x v="77"/>
  </r>
  <r>
    <s v="20556"/>
    <d v="1899-12-30T21:37:58"/>
    <x v="1"/>
    <x v="0"/>
    <s v="0012"/>
    <n v="32.82"/>
    <x v="3"/>
    <x v="77"/>
  </r>
  <r>
    <s v="20557"/>
    <d v="1899-12-30T08:27:38"/>
    <x v="0"/>
    <x v="0"/>
    <s v="0196"/>
    <n v="37.72"/>
    <x v="0"/>
    <x v="78"/>
  </r>
  <r>
    <s v="20558"/>
    <d v="1899-12-30T09:43:51"/>
    <x v="0"/>
    <x v="1"/>
    <s v="Cash"/>
    <n v="29"/>
    <x v="2"/>
    <x v="78"/>
  </r>
  <r>
    <s v="20559"/>
    <d v="1899-12-30T09:44:40"/>
    <x v="0"/>
    <x v="1"/>
    <s v="Cash"/>
    <n v="34"/>
    <x v="3"/>
    <x v="78"/>
  </r>
  <r>
    <s v="20560"/>
    <d v="1899-12-30T09:46:09"/>
    <x v="0"/>
    <x v="1"/>
    <s v="Cash"/>
    <n v="39"/>
    <x v="4"/>
    <x v="78"/>
  </r>
  <r>
    <s v="20561"/>
    <d v="1899-12-30T10:05:08"/>
    <x v="0"/>
    <x v="1"/>
    <s v="Cash"/>
    <n v="39"/>
    <x v="0"/>
    <x v="78"/>
  </r>
  <r>
    <s v="20562"/>
    <d v="1899-12-30T16:10:20"/>
    <x v="1"/>
    <x v="0"/>
    <s v="0197"/>
    <n v="37.72"/>
    <x v="0"/>
    <x v="78"/>
  </r>
  <r>
    <s v="20563"/>
    <d v="1899-12-30T18:13:24"/>
    <x v="1"/>
    <x v="0"/>
    <s v="0012"/>
    <n v="23.02"/>
    <x v="6"/>
    <x v="78"/>
  </r>
  <r>
    <s v="20564"/>
    <d v="1899-12-30T19:11:09"/>
    <x v="1"/>
    <x v="0"/>
    <s v="0198"/>
    <n v="37.72"/>
    <x v="7"/>
    <x v="78"/>
  </r>
  <r>
    <s v="20565"/>
    <d v="1899-12-30T20:13:48"/>
    <x v="1"/>
    <x v="0"/>
    <s v="0199"/>
    <n v="37.72"/>
    <x v="7"/>
    <x v="78"/>
  </r>
  <r>
    <s v="20566"/>
    <d v="1899-12-30T09:34:42"/>
    <x v="0"/>
    <x v="0"/>
    <s v="0200"/>
    <n v="37.72"/>
    <x v="7"/>
    <x v="79"/>
  </r>
  <r>
    <s v="20567"/>
    <d v="1899-12-30T10:49:47"/>
    <x v="0"/>
    <x v="0"/>
    <s v="0191"/>
    <n v="32.82"/>
    <x v="3"/>
    <x v="79"/>
  </r>
  <r>
    <s v="20568"/>
    <d v="1899-12-30T11:18:14"/>
    <x v="0"/>
    <x v="0"/>
    <s v="0141"/>
    <n v="27.92"/>
    <x v="5"/>
    <x v="79"/>
  </r>
  <r>
    <s v="20569"/>
    <d v="1899-12-30T11:34:55"/>
    <x v="0"/>
    <x v="0"/>
    <s v="0097"/>
    <n v="32.82"/>
    <x v="3"/>
    <x v="79"/>
  </r>
  <r>
    <s v="20570"/>
    <d v="1899-12-30T12:29:51"/>
    <x v="1"/>
    <x v="0"/>
    <s v="0012"/>
    <n v="27.92"/>
    <x v="2"/>
    <x v="79"/>
  </r>
  <r>
    <s v="20571"/>
    <d v="1899-12-30T12:30:43"/>
    <x v="1"/>
    <x v="0"/>
    <s v="0012"/>
    <n v="27.92"/>
    <x v="2"/>
    <x v="79"/>
  </r>
  <r>
    <s v="20572"/>
    <d v="1899-12-30T14:00:20"/>
    <x v="1"/>
    <x v="0"/>
    <s v="0009"/>
    <n v="32.82"/>
    <x v="3"/>
    <x v="79"/>
  </r>
  <r>
    <s v="20573"/>
    <d v="1899-12-30T19:24:58"/>
    <x v="1"/>
    <x v="0"/>
    <s v="0134"/>
    <n v="37.72"/>
    <x v="7"/>
    <x v="79"/>
  </r>
  <r>
    <s v="20574"/>
    <d v="1899-12-30T19:25:59"/>
    <x v="1"/>
    <x v="0"/>
    <s v="0134"/>
    <n v="37.72"/>
    <x v="7"/>
    <x v="79"/>
  </r>
  <r>
    <s v="20575"/>
    <d v="1899-12-30T21:23:53"/>
    <x v="1"/>
    <x v="0"/>
    <s v="0180"/>
    <n v="37.72"/>
    <x v="1"/>
    <x v="79"/>
  </r>
  <r>
    <s v="20576"/>
    <d v="1899-12-30T21:24:50"/>
    <x v="1"/>
    <x v="0"/>
    <s v="0180"/>
    <n v="37.72"/>
    <x v="7"/>
    <x v="79"/>
  </r>
  <r>
    <s v="20577"/>
    <d v="1899-12-30T10:10:20"/>
    <x v="0"/>
    <x v="0"/>
    <s v="0201"/>
    <n v="37.72"/>
    <x v="7"/>
    <x v="80"/>
  </r>
  <r>
    <s v="20578"/>
    <d v="1899-12-30T12:22:07"/>
    <x v="1"/>
    <x v="0"/>
    <s v="0202"/>
    <n v="23.02"/>
    <x v="6"/>
    <x v="80"/>
  </r>
  <r>
    <s v="20579"/>
    <d v="1899-12-30T15:55:17"/>
    <x v="1"/>
    <x v="0"/>
    <s v="0180"/>
    <n v="37.72"/>
    <x v="7"/>
    <x v="80"/>
  </r>
  <r>
    <s v="20580"/>
    <d v="1899-12-30T15:56:27"/>
    <x v="1"/>
    <x v="0"/>
    <s v="0203"/>
    <n v="37.72"/>
    <x v="7"/>
    <x v="80"/>
  </r>
  <r>
    <s v="20581"/>
    <d v="1899-12-30T16:18:14"/>
    <x v="1"/>
    <x v="0"/>
    <s v="0180"/>
    <n v="37.72"/>
    <x v="7"/>
    <x v="80"/>
  </r>
  <r>
    <s v="20582"/>
    <d v="1899-12-30T16:41:00"/>
    <x v="1"/>
    <x v="0"/>
    <s v="0077"/>
    <n v="37.72"/>
    <x v="0"/>
    <x v="80"/>
  </r>
  <r>
    <s v="20583"/>
    <d v="1899-12-30T17:14:33"/>
    <x v="1"/>
    <x v="0"/>
    <s v="0153"/>
    <n v="37.72"/>
    <x v="7"/>
    <x v="80"/>
  </r>
  <r>
    <s v="20584"/>
    <d v="1899-12-30T17:15:45"/>
    <x v="1"/>
    <x v="0"/>
    <s v="0153"/>
    <n v="37.72"/>
    <x v="0"/>
    <x v="80"/>
  </r>
  <r>
    <s v="20585"/>
    <d v="1899-12-30T19:03:54"/>
    <x v="1"/>
    <x v="0"/>
    <s v="0204"/>
    <n v="27.92"/>
    <x v="5"/>
    <x v="80"/>
  </r>
  <r>
    <s v="20586"/>
    <d v="1899-12-30T19:17:28"/>
    <x v="1"/>
    <x v="0"/>
    <s v="0134"/>
    <n v="37.72"/>
    <x v="7"/>
    <x v="80"/>
  </r>
  <r>
    <s v="20587"/>
    <d v="1899-12-30T19:18:26"/>
    <x v="1"/>
    <x v="0"/>
    <s v="0205"/>
    <n v="37.72"/>
    <x v="7"/>
    <x v="80"/>
  </r>
  <r>
    <s v="20588"/>
    <d v="1899-12-30T19:42:32"/>
    <x v="1"/>
    <x v="0"/>
    <s v="0206"/>
    <n v="37.72"/>
    <x v="7"/>
    <x v="80"/>
  </r>
  <r>
    <s v="20589"/>
    <d v="1899-12-30T20:15:01"/>
    <x v="1"/>
    <x v="0"/>
    <s v="0207"/>
    <n v="37.72"/>
    <x v="7"/>
    <x v="80"/>
  </r>
  <r>
    <s v="20590"/>
    <d v="1899-12-30T20:16:24"/>
    <x v="1"/>
    <x v="0"/>
    <s v="0207"/>
    <n v="37.72"/>
    <x v="0"/>
    <x v="80"/>
  </r>
  <r>
    <s v="20591"/>
    <d v="1899-12-30T22:48:11"/>
    <x v="1"/>
    <x v="0"/>
    <s v="0208"/>
    <n v="32.82"/>
    <x v="3"/>
    <x v="80"/>
  </r>
  <r>
    <s v="20592"/>
    <d v="1899-12-30T22:55:37"/>
    <x v="1"/>
    <x v="1"/>
    <s v="Cash"/>
    <n v="39"/>
    <x v="1"/>
    <x v="80"/>
  </r>
  <r>
    <s v="20593"/>
    <d v="1899-12-30T11:11:59"/>
    <x v="0"/>
    <x v="0"/>
    <s v="0141"/>
    <n v="27.92"/>
    <x v="5"/>
    <x v="81"/>
  </r>
  <r>
    <s v="20594"/>
    <d v="1899-12-30T11:15:08"/>
    <x v="0"/>
    <x v="0"/>
    <s v="0012"/>
    <n v="27.92"/>
    <x v="2"/>
    <x v="81"/>
  </r>
  <r>
    <s v="20595"/>
    <d v="1899-12-30T11:16:13"/>
    <x v="0"/>
    <x v="0"/>
    <s v="0012"/>
    <n v="27.92"/>
    <x v="2"/>
    <x v="81"/>
  </r>
  <r>
    <s v="20596"/>
    <d v="1899-12-30T16:07:20"/>
    <x v="1"/>
    <x v="0"/>
    <s v="0081"/>
    <n v="37.72"/>
    <x v="1"/>
    <x v="81"/>
  </r>
  <r>
    <s v="20597"/>
    <d v="1899-12-30T18:17:40"/>
    <x v="1"/>
    <x v="0"/>
    <s v="0209"/>
    <n v="27.92"/>
    <x v="5"/>
    <x v="81"/>
  </r>
  <r>
    <s v="20598"/>
    <d v="1899-12-30T18:18:37"/>
    <x v="1"/>
    <x v="0"/>
    <s v="0209"/>
    <n v="27.92"/>
    <x v="5"/>
    <x v="81"/>
  </r>
  <r>
    <s v="20599"/>
    <d v="1899-12-30T22:30:40"/>
    <x v="1"/>
    <x v="0"/>
    <s v="0210"/>
    <n v="32.82"/>
    <x v="3"/>
    <x v="81"/>
  </r>
  <r>
    <s v="20600"/>
    <d v="1899-12-30T07:40:59"/>
    <x v="0"/>
    <x v="1"/>
    <s v="Cash"/>
    <n v="29"/>
    <x v="2"/>
    <x v="82"/>
  </r>
  <r>
    <s v="20601"/>
    <d v="1899-12-30T12:13:53"/>
    <x v="1"/>
    <x v="0"/>
    <s v="0211"/>
    <n v="37.72"/>
    <x v="0"/>
    <x v="82"/>
  </r>
  <r>
    <s v="20602"/>
    <d v="1899-12-30T12:40:24"/>
    <x v="1"/>
    <x v="1"/>
    <s v="Cash"/>
    <n v="29"/>
    <x v="2"/>
    <x v="82"/>
  </r>
  <r>
    <s v="20603"/>
    <d v="1899-12-30T12:42:10"/>
    <x v="1"/>
    <x v="0"/>
    <s v="0212"/>
    <n v="32.82"/>
    <x v="3"/>
    <x v="82"/>
  </r>
  <r>
    <s v="20604"/>
    <d v="1899-12-30T12:43:13"/>
    <x v="1"/>
    <x v="0"/>
    <s v="0212"/>
    <n v="32.82"/>
    <x v="3"/>
    <x v="82"/>
  </r>
  <r>
    <s v="20605"/>
    <d v="1899-12-30T12:58:12"/>
    <x v="1"/>
    <x v="0"/>
    <s v="0213"/>
    <n v="32.82"/>
    <x v="3"/>
    <x v="82"/>
  </r>
  <r>
    <s v="20606"/>
    <d v="1899-12-30T16:47:10"/>
    <x v="1"/>
    <x v="0"/>
    <s v="0040"/>
    <n v="32.82"/>
    <x v="3"/>
    <x v="82"/>
  </r>
  <r>
    <s v="20607"/>
    <d v="1899-12-30T16:48:17"/>
    <x v="1"/>
    <x v="0"/>
    <s v="0040"/>
    <n v="27.92"/>
    <x v="2"/>
    <x v="82"/>
  </r>
  <r>
    <s v="20608"/>
    <d v="1899-12-30T10:20:02"/>
    <x v="0"/>
    <x v="0"/>
    <s v="0001"/>
    <n v="37.72"/>
    <x v="0"/>
    <x v="83"/>
  </r>
  <r>
    <s v="20609"/>
    <d v="1899-12-30T14:24:50"/>
    <x v="1"/>
    <x v="0"/>
    <s v="0214"/>
    <n v="32.82"/>
    <x v="3"/>
    <x v="83"/>
  </r>
  <r>
    <s v="20610"/>
    <d v="1899-12-30T14:26:05"/>
    <x v="1"/>
    <x v="0"/>
    <s v="0215"/>
    <n v="27.92"/>
    <x v="5"/>
    <x v="83"/>
  </r>
  <r>
    <s v="20611"/>
    <d v="1899-12-30T14:40:59"/>
    <x v="1"/>
    <x v="0"/>
    <s v="0216"/>
    <n v="32.82"/>
    <x v="3"/>
    <x v="83"/>
  </r>
  <r>
    <s v="20612"/>
    <d v="1899-12-30T17:19:16"/>
    <x v="1"/>
    <x v="0"/>
    <s v="0217"/>
    <n v="37.72"/>
    <x v="7"/>
    <x v="83"/>
  </r>
  <r>
    <s v="20613"/>
    <d v="1899-12-30T18:09:53"/>
    <x v="1"/>
    <x v="0"/>
    <s v="0218"/>
    <n v="37.72"/>
    <x v="1"/>
    <x v="83"/>
  </r>
  <r>
    <s v="20614"/>
    <d v="1899-12-30T18:11:02"/>
    <x v="1"/>
    <x v="0"/>
    <s v="0218"/>
    <n v="37.72"/>
    <x v="1"/>
    <x v="83"/>
  </r>
  <r>
    <s v="20615"/>
    <d v="1899-12-30T18:13:14"/>
    <x v="1"/>
    <x v="0"/>
    <s v="0218"/>
    <n v="27.92"/>
    <x v="2"/>
    <x v="83"/>
  </r>
  <r>
    <s v="20616"/>
    <d v="1899-12-30T18:39:19"/>
    <x v="1"/>
    <x v="0"/>
    <s v="0219"/>
    <n v="37.72"/>
    <x v="0"/>
    <x v="83"/>
  </r>
  <r>
    <s v="20617"/>
    <d v="1899-12-30T20:59:15"/>
    <x v="1"/>
    <x v="0"/>
    <s v="0220"/>
    <n v="37.72"/>
    <x v="1"/>
    <x v="83"/>
  </r>
  <r>
    <s v="20618"/>
    <d v="1899-12-30T21:00:06"/>
    <x v="1"/>
    <x v="0"/>
    <s v="0220"/>
    <n v="37.72"/>
    <x v="7"/>
    <x v="83"/>
  </r>
  <r>
    <s v="20619"/>
    <d v="1899-12-30T21:02:37"/>
    <x v="1"/>
    <x v="0"/>
    <s v="0221"/>
    <n v="27.92"/>
    <x v="5"/>
    <x v="83"/>
  </r>
  <r>
    <s v="20620"/>
    <d v="1899-12-30T21:03:52"/>
    <x v="1"/>
    <x v="0"/>
    <s v="0222"/>
    <n v="37.72"/>
    <x v="7"/>
    <x v="83"/>
  </r>
  <r>
    <s v="20621"/>
    <d v="1899-12-30T21:04:59"/>
    <x v="1"/>
    <x v="0"/>
    <s v="0221"/>
    <n v="37.72"/>
    <x v="0"/>
    <x v="83"/>
  </r>
  <r>
    <s v="20622"/>
    <d v="1899-12-30T21:06:03"/>
    <x v="1"/>
    <x v="0"/>
    <s v="0223"/>
    <n v="37.72"/>
    <x v="7"/>
    <x v="83"/>
  </r>
  <r>
    <s v="20623"/>
    <d v="1899-12-30T11:34:55"/>
    <x v="0"/>
    <x v="0"/>
    <s v="0012"/>
    <n v="27.92"/>
    <x v="2"/>
    <x v="84"/>
  </r>
  <r>
    <s v="20624"/>
    <d v="1899-12-30T14:05:22"/>
    <x v="1"/>
    <x v="0"/>
    <s v="0224"/>
    <n v="32.82"/>
    <x v="3"/>
    <x v="84"/>
  </r>
  <r>
    <s v="20625"/>
    <d v="1899-12-30T14:06:44"/>
    <x v="1"/>
    <x v="0"/>
    <s v="0224"/>
    <n v="37.72"/>
    <x v="4"/>
    <x v="84"/>
  </r>
  <r>
    <s v="20626"/>
    <d v="1899-12-30T15:11:34"/>
    <x v="1"/>
    <x v="0"/>
    <s v="0225"/>
    <n v="27.92"/>
    <x v="2"/>
    <x v="84"/>
  </r>
  <r>
    <s v="20627"/>
    <d v="1899-12-30T15:14:06"/>
    <x v="1"/>
    <x v="0"/>
    <s v="0225"/>
    <n v="27.92"/>
    <x v="2"/>
    <x v="84"/>
  </r>
  <r>
    <s v="20628"/>
    <d v="1899-12-30T17:50:56"/>
    <x v="1"/>
    <x v="0"/>
    <s v="0203"/>
    <n v="37.72"/>
    <x v="0"/>
    <x v="84"/>
  </r>
  <r>
    <s v="20629"/>
    <d v="1899-12-30T18:00:51"/>
    <x v="1"/>
    <x v="0"/>
    <s v="0226"/>
    <n v="27.92"/>
    <x v="2"/>
    <x v="84"/>
  </r>
  <r>
    <s v="20630"/>
    <d v="1899-12-30T19:16:27"/>
    <x v="1"/>
    <x v="0"/>
    <s v="0227"/>
    <n v="37.72"/>
    <x v="0"/>
    <x v="84"/>
  </r>
  <r>
    <s v="20631"/>
    <d v="1899-12-30T19:17:39"/>
    <x v="1"/>
    <x v="0"/>
    <s v="0228"/>
    <n v="37.72"/>
    <x v="0"/>
    <x v="84"/>
  </r>
  <r>
    <s v="20632"/>
    <d v="1899-12-30T21:29:07"/>
    <x v="1"/>
    <x v="0"/>
    <s v="0192"/>
    <n v="32.82"/>
    <x v="3"/>
    <x v="84"/>
  </r>
  <r>
    <s v="20633"/>
    <d v="1899-12-30T21:30:20"/>
    <x v="1"/>
    <x v="0"/>
    <s v="0206"/>
    <n v="37.72"/>
    <x v="7"/>
    <x v="84"/>
  </r>
  <r>
    <s v="20634"/>
    <d v="1899-12-30T08:37:09"/>
    <x v="0"/>
    <x v="0"/>
    <s v="0012"/>
    <n v="32.82"/>
    <x v="3"/>
    <x v="85"/>
  </r>
  <r>
    <s v="20635"/>
    <d v="1899-12-30T09:20:11"/>
    <x v="0"/>
    <x v="0"/>
    <s v="0097"/>
    <n v="32.82"/>
    <x v="3"/>
    <x v="85"/>
  </r>
  <r>
    <s v="20636"/>
    <d v="1899-12-30T11:48:18"/>
    <x v="0"/>
    <x v="0"/>
    <s v="0229"/>
    <n v="37.72"/>
    <x v="7"/>
    <x v="85"/>
  </r>
  <r>
    <s v="20637"/>
    <d v="1899-12-30T13:14:40"/>
    <x v="1"/>
    <x v="0"/>
    <s v="0230"/>
    <n v="37.72"/>
    <x v="7"/>
    <x v="85"/>
  </r>
  <r>
    <s v="20638"/>
    <d v="1899-12-30T14:10:54"/>
    <x v="1"/>
    <x v="0"/>
    <s v="0194"/>
    <n v="37.72"/>
    <x v="4"/>
    <x v="85"/>
  </r>
  <r>
    <s v="20639"/>
    <d v="1899-12-30T16:25:39"/>
    <x v="1"/>
    <x v="0"/>
    <s v="0141"/>
    <n v="27.92"/>
    <x v="5"/>
    <x v="85"/>
  </r>
  <r>
    <s v="20640"/>
    <d v="1899-12-30T17:21:44"/>
    <x v="1"/>
    <x v="1"/>
    <s v="Cash"/>
    <n v="39"/>
    <x v="7"/>
    <x v="85"/>
  </r>
  <r>
    <s v="20641"/>
    <d v="1899-12-30T19:09:29"/>
    <x v="1"/>
    <x v="0"/>
    <s v="0231"/>
    <n v="27.92"/>
    <x v="2"/>
    <x v="85"/>
  </r>
  <r>
    <s v="20642"/>
    <d v="1899-12-30T19:10:31"/>
    <x v="1"/>
    <x v="0"/>
    <s v="0231"/>
    <n v="37.72"/>
    <x v="0"/>
    <x v="85"/>
  </r>
  <r>
    <s v="20643"/>
    <d v="1899-12-30T20:24:32"/>
    <x v="1"/>
    <x v="0"/>
    <s v="0009"/>
    <n v="32.82"/>
    <x v="3"/>
    <x v="85"/>
  </r>
  <r>
    <s v="20644"/>
    <d v="1899-12-30T20:50:19"/>
    <x v="1"/>
    <x v="0"/>
    <s v="0012"/>
    <n v="27.92"/>
    <x v="2"/>
    <x v="85"/>
  </r>
  <r>
    <s v="20645"/>
    <d v="1899-12-30T09:14:44"/>
    <x v="0"/>
    <x v="0"/>
    <s v="0232"/>
    <n v="37.72"/>
    <x v="0"/>
    <x v="86"/>
  </r>
  <r>
    <s v="20646"/>
    <d v="1899-12-30T10:48:47"/>
    <x v="0"/>
    <x v="1"/>
    <s v="Cash"/>
    <n v="39"/>
    <x v="0"/>
    <x v="86"/>
  </r>
  <r>
    <s v="20647"/>
    <d v="1899-12-30T11:14:03"/>
    <x v="0"/>
    <x v="0"/>
    <s v="0233"/>
    <n v="37.72"/>
    <x v="1"/>
    <x v="86"/>
  </r>
  <r>
    <s v="20648"/>
    <d v="1899-12-30T15:10:49"/>
    <x v="1"/>
    <x v="0"/>
    <s v="0234"/>
    <n v="27.92"/>
    <x v="2"/>
    <x v="86"/>
  </r>
  <r>
    <s v="20649"/>
    <d v="1899-12-30T15:22:56"/>
    <x v="1"/>
    <x v="0"/>
    <s v="0235"/>
    <n v="37.72"/>
    <x v="0"/>
    <x v="86"/>
  </r>
  <r>
    <s v="20650"/>
    <d v="1899-12-30T15:45:13"/>
    <x v="1"/>
    <x v="0"/>
    <s v="0236"/>
    <n v="37.72"/>
    <x v="7"/>
    <x v="86"/>
  </r>
  <r>
    <s v="20651"/>
    <d v="1899-12-30T16:45:04"/>
    <x v="1"/>
    <x v="0"/>
    <s v="0237"/>
    <n v="37.72"/>
    <x v="0"/>
    <x v="86"/>
  </r>
  <r>
    <s v="20652"/>
    <d v="1899-12-30T18:24:03"/>
    <x v="1"/>
    <x v="0"/>
    <s v="0238"/>
    <n v="27.92"/>
    <x v="5"/>
    <x v="86"/>
  </r>
  <r>
    <s v="20653"/>
    <d v="1899-12-30T18:24:59"/>
    <x v="1"/>
    <x v="0"/>
    <s v="0238"/>
    <n v="37.72"/>
    <x v="0"/>
    <x v="86"/>
  </r>
  <r>
    <s v="20654"/>
    <d v="1899-12-30T20:30:42"/>
    <x v="1"/>
    <x v="0"/>
    <s v="0239"/>
    <n v="37.72"/>
    <x v="1"/>
    <x v="86"/>
  </r>
  <r>
    <s v="20655"/>
    <d v="1899-12-30T20:32:35"/>
    <x v="1"/>
    <x v="0"/>
    <s v="0240"/>
    <n v="37.72"/>
    <x v="4"/>
    <x v="86"/>
  </r>
  <r>
    <s v="20656"/>
    <d v="1899-12-30T08:29:06"/>
    <x v="0"/>
    <x v="0"/>
    <s v="0241"/>
    <n v="37.72"/>
    <x v="7"/>
    <x v="87"/>
  </r>
  <r>
    <s v="20657"/>
    <d v="1899-12-30T08:30:22"/>
    <x v="0"/>
    <x v="0"/>
    <s v="0241"/>
    <n v="37.72"/>
    <x v="0"/>
    <x v="87"/>
  </r>
  <r>
    <s v="20658"/>
    <d v="1899-12-30T08:37:05"/>
    <x v="0"/>
    <x v="0"/>
    <s v="0242"/>
    <n v="32.82"/>
    <x v="3"/>
    <x v="87"/>
  </r>
  <r>
    <s v="20659"/>
    <d v="1899-12-30T09:47:59"/>
    <x v="0"/>
    <x v="0"/>
    <s v="0001"/>
    <n v="37.72"/>
    <x v="0"/>
    <x v="87"/>
  </r>
  <r>
    <s v="20660"/>
    <d v="1899-12-30T14:56:15"/>
    <x v="1"/>
    <x v="0"/>
    <s v="0097"/>
    <n v="32.82"/>
    <x v="3"/>
    <x v="87"/>
  </r>
  <r>
    <s v="20661"/>
    <d v="1899-12-30T15:16:16"/>
    <x v="1"/>
    <x v="0"/>
    <s v="0243"/>
    <n v="23.02"/>
    <x v="6"/>
    <x v="87"/>
  </r>
  <r>
    <s v="20662"/>
    <d v="1899-12-30T15:17:39"/>
    <x v="1"/>
    <x v="0"/>
    <s v="0012"/>
    <n v="23.02"/>
    <x v="6"/>
    <x v="87"/>
  </r>
  <r>
    <s v="20663"/>
    <d v="1899-12-30T19:53:11"/>
    <x v="1"/>
    <x v="0"/>
    <s v="0206"/>
    <n v="37.72"/>
    <x v="7"/>
    <x v="87"/>
  </r>
  <r>
    <s v="20664"/>
    <d v="1899-12-30T20:31:05"/>
    <x v="1"/>
    <x v="0"/>
    <s v="0244"/>
    <n v="37.72"/>
    <x v="0"/>
    <x v="87"/>
  </r>
  <r>
    <s v="20665"/>
    <d v="1899-12-30T20:46:14"/>
    <x v="1"/>
    <x v="0"/>
    <s v="0009"/>
    <n v="37.72"/>
    <x v="1"/>
    <x v="87"/>
  </r>
  <r>
    <s v="20666"/>
    <d v="1899-12-30T20:47:22"/>
    <x v="1"/>
    <x v="0"/>
    <s v="0009"/>
    <n v="32.82"/>
    <x v="3"/>
    <x v="87"/>
  </r>
  <r>
    <s v="20667"/>
    <d v="1899-12-30T07:53:57"/>
    <x v="0"/>
    <x v="0"/>
    <s v="0245"/>
    <n v="32.82"/>
    <x v="3"/>
    <x v="88"/>
  </r>
  <r>
    <s v="20668"/>
    <d v="1899-12-30T09:21:08"/>
    <x v="0"/>
    <x v="0"/>
    <s v="0246"/>
    <n v="37.72"/>
    <x v="0"/>
    <x v="88"/>
  </r>
  <r>
    <s v="20669"/>
    <d v="1899-12-30T09:23:59"/>
    <x v="0"/>
    <x v="1"/>
    <s v="Cash"/>
    <n v="39"/>
    <x v="0"/>
    <x v="88"/>
  </r>
  <r>
    <s v="20670"/>
    <d v="1899-12-30T10:38:08"/>
    <x v="0"/>
    <x v="0"/>
    <s v="0247"/>
    <n v="37.72"/>
    <x v="1"/>
    <x v="88"/>
  </r>
  <r>
    <s v="20671"/>
    <d v="1899-12-30T10:39:06"/>
    <x v="0"/>
    <x v="0"/>
    <s v="0248"/>
    <n v="37.72"/>
    <x v="4"/>
    <x v="88"/>
  </r>
  <r>
    <s v="20672"/>
    <d v="1899-12-30T14:50:13"/>
    <x v="1"/>
    <x v="0"/>
    <s v="0249"/>
    <n v="32.82"/>
    <x v="3"/>
    <x v="88"/>
  </r>
  <r>
    <s v="20673"/>
    <d v="1899-12-30T18:23:45"/>
    <x v="1"/>
    <x v="0"/>
    <s v="0250"/>
    <n v="37.72"/>
    <x v="0"/>
    <x v="88"/>
  </r>
  <r>
    <s v="20674"/>
    <d v="1899-12-30T18:25:03"/>
    <x v="1"/>
    <x v="0"/>
    <s v="0250"/>
    <n v="37.72"/>
    <x v="0"/>
    <x v="88"/>
  </r>
  <r>
    <s v="20675"/>
    <d v="1899-12-30T20:06:39"/>
    <x v="1"/>
    <x v="0"/>
    <s v="0180"/>
    <n v="37.72"/>
    <x v="7"/>
    <x v="88"/>
  </r>
  <r>
    <s v="20676"/>
    <d v="1899-12-30T20:33:06"/>
    <x v="1"/>
    <x v="0"/>
    <s v="0134"/>
    <n v="32.82"/>
    <x v="3"/>
    <x v="88"/>
  </r>
  <r>
    <s v="20677"/>
    <d v="1899-12-30T20:34:33"/>
    <x v="1"/>
    <x v="0"/>
    <s v="0134"/>
    <n v="37.72"/>
    <x v="0"/>
    <x v="88"/>
  </r>
  <r>
    <s v="20678"/>
    <d v="1899-12-30T22:05:47"/>
    <x v="1"/>
    <x v="0"/>
    <s v="0206"/>
    <n v="37.72"/>
    <x v="7"/>
    <x v="88"/>
  </r>
  <r>
    <s v="20679"/>
    <d v="1899-12-30T22:06:52"/>
    <x v="1"/>
    <x v="0"/>
    <s v="0206"/>
    <n v="32.82"/>
    <x v="3"/>
    <x v="88"/>
  </r>
  <r>
    <s v="20680"/>
    <d v="1899-12-30T22:07:55"/>
    <x v="1"/>
    <x v="0"/>
    <s v="0206"/>
    <n v="27.92"/>
    <x v="5"/>
    <x v="88"/>
  </r>
  <r>
    <s v="20681"/>
    <d v="1899-12-30T08:27:02"/>
    <x v="0"/>
    <x v="0"/>
    <s v="0141"/>
    <n v="27.92"/>
    <x v="5"/>
    <x v="89"/>
  </r>
  <r>
    <s v="20682"/>
    <d v="1899-12-30T09:48:25"/>
    <x v="0"/>
    <x v="0"/>
    <s v="0232"/>
    <n v="37.72"/>
    <x v="0"/>
    <x v="89"/>
  </r>
  <r>
    <s v="20683"/>
    <d v="1899-12-30T11:38:09"/>
    <x v="0"/>
    <x v="0"/>
    <s v="0250"/>
    <n v="37.72"/>
    <x v="0"/>
    <x v="89"/>
  </r>
  <r>
    <s v="20684"/>
    <d v="1899-12-30T14:28:54"/>
    <x v="1"/>
    <x v="0"/>
    <s v="0097"/>
    <n v="32.82"/>
    <x v="3"/>
    <x v="89"/>
  </r>
  <r>
    <s v="20685"/>
    <d v="1899-12-30T18:20:13"/>
    <x v="1"/>
    <x v="0"/>
    <s v="0251"/>
    <n v="32.82"/>
    <x v="3"/>
    <x v="89"/>
  </r>
  <r>
    <s v="20686"/>
    <d v="1899-12-30T18:21:15"/>
    <x v="1"/>
    <x v="0"/>
    <s v="0251"/>
    <n v="32.82"/>
    <x v="3"/>
    <x v="89"/>
  </r>
  <r>
    <s v="20687"/>
    <d v="1899-12-30T20:50:10"/>
    <x v="1"/>
    <x v="0"/>
    <s v="0154"/>
    <n v="37.72"/>
    <x v="7"/>
    <x v="89"/>
  </r>
  <r>
    <s v="20688"/>
    <d v="1899-12-30T20:51:14"/>
    <x v="1"/>
    <x v="0"/>
    <s v="0154"/>
    <n v="37.72"/>
    <x v="7"/>
    <x v="89"/>
  </r>
  <r>
    <s v="20689"/>
    <d v="1899-12-30T20:54:59"/>
    <x v="1"/>
    <x v="1"/>
    <s v="Cash"/>
    <n v="39"/>
    <x v="4"/>
    <x v="89"/>
  </r>
  <r>
    <s v="20690"/>
    <d v="1899-12-30T20:59:10"/>
    <x v="1"/>
    <x v="0"/>
    <s v="0252"/>
    <n v="37.72"/>
    <x v="4"/>
    <x v="89"/>
  </r>
  <r>
    <s v="20691"/>
    <d v="1899-12-30T21:51:05"/>
    <x v="1"/>
    <x v="0"/>
    <s v="0009"/>
    <n v="32.82"/>
    <x v="3"/>
    <x v="89"/>
  </r>
  <r>
    <s v="20692"/>
    <d v="1899-12-30T20:03:26"/>
    <x v="1"/>
    <x v="0"/>
    <s v="0009"/>
    <n v="37.72"/>
    <x v="0"/>
    <x v="90"/>
  </r>
  <r>
    <s v="20693"/>
    <d v="1899-12-30T20:24:02"/>
    <x v="1"/>
    <x v="0"/>
    <s v="0040"/>
    <n v="32.82"/>
    <x v="3"/>
    <x v="90"/>
  </r>
  <r>
    <s v="20694"/>
    <d v="1899-12-30T20:25:07"/>
    <x v="1"/>
    <x v="0"/>
    <s v="0040"/>
    <n v="37.72"/>
    <x v="7"/>
    <x v="90"/>
  </r>
  <r>
    <s v="20695"/>
    <d v="1899-12-30T21:07:21"/>
    <x v="1"/>
    <x v="0"/>
    <s v="0097"/>
    <n v="32.82"/>
    <x v="3"/>
    <x v="90"/>
  </r>
  <r>
    <s v="20696"/>
    <d v="1899-12-30T21:30:12"/>
    <x v="1"/>
    <x v="0"/>
    <s v="0253"/>
    <n v="37.72"/>
    <x v="0"/>
    <x v="90"/>
  </r>
  <r>
    <s v="20697"/>
    <d v="1899-12-30T22:43:11"/>
    <x v="1"/>
    <x v="1"/>
    <s v="Cash"/>
    <n v="34"/>
    <x v="3"/>
    <x v="90"/>
  </r>
  <r>
    <s v="20698"/>
    <d v="1899-12-30T10:12:04"/>
    <x v="0"/>
    <x v="0"/>
    <s v="0001"/>
    <n v="37.72"/>
    <x v="0"/>
    <x v="91"/>
  </r>
  <r>
    <s v="20699"/>
    <d v="1899-12-30T10:27:50"/>
    <x v="0"/>
    <x v="0"/>
    <s v="0191"/>
    <n v="37.72"/>
    <x v="0"/>
    <x v="91"/>
  </r>
  <r>
    <s v="20700"/>
    <d v="1899-12-30T14:31:42"/>
    <x v="1"/>
    <x v="0"/>
    <s v="0025"/>
    <n v="37.72"/>
    <x v="7"/>
    <x v="91"/>
  </r>
  <r>
    <s v="20701"/>
    <d v="1899-12-30T14:33:01"/>
    <x v="1"/>
    <x v="0"/>
    <s v="0024"/>
    <n v="32.82"/>
    <x v="3"/>
    <x v="91"/>
  </r>
  <r>
    <s v="20702"/>
    <d v="1899-12-30T14:34:07"/>
    <x v="1"/>
    <x v="0"/>
    <s v="0009"/>
    <n v="37.72"/>
    <x v="0"/>
    <x v="91"/>
  </r>
  <r>
    <s v="20703"/>
    <d v="1899-12-30T21:42:52"/>
    <x v="1"/>
    <x v="1"/>
    <s v="Cash"/>
    <n v="34"/>
    <x v="3"/>
    <x v="91"/>
  </r>
  <r>
    <s v="20704"/>
    <d v="1899-12-30T21:43:37"/>
    <x v="1"/>
    <x v="1"/>
    <s v="Cash"/>
    <n v="34"/>
    <x v="3"/>
    <x v="91"/>
  </r>
  <r>
    <s v="20705"/>
    <d v="1899-12-30T09:23:43"/>
    <x v="0"/>
    <x v="0"/>
    <s v="0141"/>
    <n v="27.92"/>
    <x v="5"/>
    <x v="92"/>
  </r>
  <r>
    <s v="20706"/>
    <d v="1899-12-30T10:27:14"/>
    <x v="0"/>
    <x v="0"/>
    <s v="0097"/>
    <n v="32.82"/>
    <x v="3"/>
    <x v="92"/>
  </r>
  <r>
    <s v="20707"/>
    <d v="1899-12-30T12:02:10"/>
    <x v="1"/>
    <x v="0"/>
    <s v="0254"/>
    <n v="37.72"/>
    <x v="0"/>
    <x v="92"/>
  </r>
  <r>
    <s v="20708"/>
    <d v="1899-12-30T12:05:29"/>
    <x v="1"/>
    <x v="0"/>
    <s v="0254"/>
    <n v="37.72"/>
    <x v="1"/>
    <x v="92"/>
  </r>
  <r>
    <s v="20709"/>
    <d v="1899-12-30T15:30:32"/>
    <x v="1"/>
    <x v="0"/>
    <s v="0255"/>
    <n v="37.72"/>
    <x v="0"/>
    <x v="92"/>
  </r>
  <r>
    <s v="20710"/>
    <d v="1899-12-30T17:46:37"/>
    <x v="1"/>
    <x v="0"/>
    <s v="0192"/>
    <n v="27.92"/>
    <x v="5"/>
    <x v="92"/>
  </r>
  <r>
    <s v="20711"/>
    <d v="1899-12-30T17:47:29"/>
    <x v="1"/>
    <x v="0"/>
    <s v="0192"/>
    <n v="37.72"/>
    <x v="7"/>
    <x v="92"/>
  </r>
  <r>
    <s v="20712"/>
    <d v="1899-12-30T20:13:01"/>
    <x v="1"/>
    <x v="0"/>
    <s v="0256"/>
    <n v="37.72"/>
    <x v="1"/>
    <x v="92"/>
  </r>
  <r>
    <s v="20713"/>
    <d v="1899-12-30T20:50:34"/>
    <x v="1"/>
    <x v="0"/>
    <s v="0257"/>
    <n v="37.72"/>
    <x v="7"/>
    <x v="92"/>
  </r>
  <r>
    <s v="20714"/>
    <d v="1899-12-30T21:31:59"/>
    <x v="1"/>
    <x v="0"/>
    <s v="0258"/>
    <n v="27.92"/>
    <x v="5"/>
    <x v="92"/>
  </r>
  <r>
    <s v="20715"/>
    <d v="1899-12-30T21:33:03"/>
    <x v="1"/>
    <x v="0"/>
    <s v="0259"/>
    <n v="32.82"/>
    <x v="3"/>
    <x v="92"/>
  </r>
  <r>
    <s v="20716"/>
    <d v="1899-12-30T21:34:56"/>
    <x v="1"/>
    <x v="0"/>
    <s v="0260"/>
    <n v="32.82"/>
    <x v="3"/>
    <x v="92"/>
  </r>
  <r>
    <s v="20717"/>
    <d v="1899-12-30T21:36:07"/>
    <x v="1"/>
    <x v="0"/>
    <s v="0260"/>
    <n v="32.82"/>
    <x v="3"/>
    <x v="92"/>
  </r>
  <r>
    <s v="20718"/>
    <d v="1899-12-30T21:37:15"/>
    <x v="1"/>
    <x v="0"/>
    <s v="0260"/>
    <n v="32.82"/>
    <x v="3"/>
    <x v="92"/>
  </r>
  <r>
    <s v="20719"/>
    <d v="1899-12-30T08:21:49"/>
    <x v="0"/>
    <x v="0"/>
    <s v="0261"/>
    <n v="37.72"/>
    <x v="7"/>
    <x v="93"/>
  </r>
  <r>
    <s v="20720"/>
    <d v="1899-12-30T08:23:07"/>
    <x v="0"/>
    <x v="0"/>
    <s v="0261"/>
    <n v="37.72"/>
    <x v="7"/>
    <x v="93"/>
  </r>
  <r>
    <s v="20721"/>
    <d v="1899-12-30T09:22:43"/>
    <x v="0"/>
    <x v="0"/>
    <s v="0262"/>
    <n v="27.92"/>
    <x v="2"/>
    <x v="93"/>
  </r>
  <r>
    <s v="20722"/>
    <d v="1899-12-30T10:28:51"/>
    <x v="0"/>
    <x v="0"/>
    <s v="0001"/>
    <n v="37.72"/>
    <x v="0"/>
    <x v="93"/>
  </r>
  <r>
    <s v="20723"/>
    <d v="1899-12-30T10:40:53"/>
    <x v="0"/>
    <x v="0"/>
    <s v="0097"/>
    <n v="32.82"/>
    <x v="3"/>
    <x v="93"/>
  </r>
  <r>
    <s v="20724"/>
    <d v="1899-12-30T19:43:58"/>
    <x v="1"/>
    <x v="0"/>
    <s v="0263"/>
    <n v="32.82"/>
    <x v="3"/>
    <x v="93"/>
  </r>
  <r>
    <s v="20725"/>
    <d v="1899-12-30T19:59:54"/>
    <x v="1"/>
    <x v="0"/>
    <s v="0264"/>
    <n v="37.72"/>
    <x v="0"/>
    <x v="93"/>
  </r>
  <r>
    <s v="20726"/>
    <d v="1899-12-30T20:10:48"/>
    <x v="1"/>
    <x v="0"/>
    <s v="0220"/>
    <n v="37.72"/>
    <x v="4"/>
    <x v="93"/>
  </r>
  <r>
    <s v="20727"/>
    <d v="1899-12-30T20:12:02"/>
    <x v="1"/>
    <x v="0"/>
    <s v="0220"/>
    <n v="27.92"/>
    <x v="5"/>
    <x v="93"/>
  </r>
  <r>
    <s v="20728"/>
    <d v="1899-12-30T08:52:56"/>
    <x v="0"/>
    <x v="0"/>
    <s v="0097"/>
    <n v="32.82"/>
    <x v="3"/>
    <x v="94"/>
  </r>
  <r>
    <s v="20729"/>
    <d v="1899-12-30T08:54:08"/>
    <x v="0"/>
    <x v="0"/>
    <s v="0097"/>
    <n v="32.82"/>
    <x v="3"/>
    <x v="94"/>
  </r>
  <r>
    <s v="20730"/>
    <d v="1899-12-30T10:36:10"/>
    <x v="0"/>
    <x v="0"/>
    <s v="0001"/>
    <n v="37.72"/>
    <x v="0"/>
    <x v="94"/>
  </r>
  <r>
    <s v="20731"/>
    <d v="1899-12-30T12:17:41"/>
    <x v="1"/>
    <x v="0"/>
    <s v="0265"/>
    <n v="27.92"/>
    <x v="2"/>
    <x v="94"/>
  </r>
  <r>
    <s v="20732"/>
    <d v="1899-12-30T15:11:14"/>
    <x v="1"/>
    <x v="0"/>
    <s v="0224"/>
    <n v="32.82"/>
    <x v="3"/>
    <x v="94"/>
  </r>
  <r>
    <s v="20733"/>
    <d v="1899-12-30T15:24:06"/>
    <x v="1"/>
    <x v="0"/>
    <s v="0266"/>
    <n v="37.72"/>
    <x v="7"/>
    <x v="94"/>
  </r>
  <r>
    <s v="20734"/>
    <d v="1899-12-30T21:14:05"/>
    <x v="1"/>
    <x v="0"/>
    <s v="0267"/>
    <n v="37.72"/>
    <x v="0"/>
    <x v="94"/>
  </r>
  <r>
    <s v="20735"/>
    <d v="1899-12-30T21:15:42"/>
    <x v="1"/>
    <x v="0"/>
    <s v="0267"/>
    <n v="37.72"/>
    <x v="0"/>
    <x v="94"/>
  </r>
  <r>
    <s v="20736"/>
    <d v="1899-12-30T21:18:27"/>
    <x v="1"/>
    <x v="0"/>
    <s v="0206"/>
    <n v="37.72"/>
    <x v="7"/>
    <x v="94"/>
  </r>
  <r>
    <s v="20737"/>
    <d v="1899-12-30T21:19:30"/>
    <x v="1"/>
    <x v="0"/>
    <s v="0206"/>
    <n v="32.82"/>
    <x v="3"/>
    <x v="94"/>
  </r>
  <r>
    <s v="20738"/>
    <d v="1899-12-30T21:21:04"/>
    <x v="1"/>
    <x v="0"/>
    <s v="0267"/>
    <n v="37.72"/>
    <x v="0"/>
    <x v="94"/>
  </r>
  <r>
    <s v="20739"/>
    <d v="1899-12-30T08:18:04"/>
    <x v="0"/>
    <x v="0"/>
    <s v="0268"/>
    <n v="37.72"/>
    <x v="7"/>
    <x v="95"/>
  </r>
  <r>
    <s v="20740"/>
    <d v="1899-12-30T10:35:28"/>
    <x v="0"/>
    <x v="0"/>
    <s v="0269"/>
    <n v="23.02"/>
    <x v="6"/>
    <x v="95"/>
  </r>
  <r>
    <s v="20741"/>
    <d v="1899-12-30T13:34:18"/>
    <x v="1"/>
    <x v="0"/>
    <s v="0164"/>
    <n v="32.82"/>
    <x v="3"/>
    <x v="95"/>
  </r>
  <r>
    <s v="20742"/>
    <d v="1899-12-30T16:45:42"/>
    <x v="1"/>
    <x v="0"/>
    <s v="0270"/>
    <n v="27.92"/>
    <x v="5"/>
    <x v="95"/>
  </r>
  <r>
    <s v="20743"/>
    <d v="1899-12-30T16:47:15"/>
    <x v="1"/>
    <x v="0"/>
    <s v="0270"/>
    <n v="27.92"/>
    <x v="5"/>
    <x v="95"/>
  </r>
  <r>
    <s v="20744"/>
    <d v="1899-12-30T09:04:20"/>
    <x v="0"/>
    <x v="0"/>
    <s v="0271"/>
    <n v="27.92"/>
    <x v="5"/>
    <x v="96"/>
  </r>
  <r>
    <s v="20745"/>
    <d v="1899-12-30T09:26:11"/>
    <x v="0"/>
    <x v="0"/>
    <s v="0097"/>
    <n v="32.82"/>
    <x v="3"/>
    <x v="96"/>
  </r>
  <r>
    <s v="20746"/>
    <d v="1899-12-30T20:24:54"/>
    <x v="1"/>
    <x v="0"/>
    <s v="0134"/>
    <n v="37.72"/>
    <x v="7"/>
    <x v="96"/>
  </r>
  <r>
    <s v="20747"/>
    <d v="1899-12-30T20:25:56"/>
    <x v="1"/>
    <x v="0"/>
    <s v="0134"/>
    <n v="37.72"/>
    <x v="7"/>
    <x v="96"/>
  </r>
  <r>
    <s v="20748"/>
    <d v="1899-12-30T08:15:53"/>
    <x v="0"/>
    <x v="0"/>
    <s v="0097"/>
    <n v="37.72"/>
    <x v="0"/>
    <x v="97"/>
  </r>
  <r>
    <s v="20749"/>
    <d v="1899-12-30T10:30:04"/>
    <x v="0"/>
    <x v="0"/>
    <s v="0272"/>
    <n v="37.72"/>
    <x v="0"/>
    <x v="97"/>
  </r>
  <r>
    <s v="20750"/>
    <d v="1899-12-30T10:52:06"/>
    <x v="0"/>
    <x v="0"/>
    <s v="0273"/>
    <n v="37.72"/>
    <x v="7"/>
    <x v="97"/>
  </r>
  <r>
    <s v="20751"/>
    <d v="1899-12-30T11:04:41"/>
    <x v="0"/>
    <x v="0"/>
    <s v="0141"/>
    <n v="27.92"/>
    <x v="5"/>
    <x v="97"/>
  </r>
  <r>
    <s v="20752"/>
    <d v="1899-12-30T11:07:08"/>
    <x v="0"/>
    <x v="0"/>
    <s v="0274"/>
    <n v="23.02"/>
    <x v="6"/>
    <x v="97"/>
  </r>
  <r>
    <s v="20753"/>
    <d v="1899-12-30T11:52:50"/>
    <x v="0"/>
    <x v="0"/>
    <s v="0275"/>
    <n v="37.72"/>
    <x v="7"/>
    <x v="97"/>
  </r>
  <r>
    <s v="20754"/>
    <d v="1899-12-30T12:11:24"/>
    <x v="1"/>
    <x v="0"/>
    <s v="0276"/>
    <n v="32.82"/>
    <x v="3"/>
    <x v="97"/>
  </r>
  <r>
    <s v="20755"/>
    <d v="1899-12-30T12:13:08"/>
    <x v="1"/>
    <x v="0"/>
    <s v="0276"/>
    <n v="37.72"/>
    <x v="0"/>
    <x v="97"/>
  </r>
  <r>
    <s v="20756"/>
    <d v="1899-12-30T12:14:11"/>
    <x v="1"/>
    <x v="0"/>
    <s v="0276"/>
    <n v="37.72"/>
    <x v="0"/>
    <x v="97"/>
  </r>
  <r>
    <s v="20757"/>
    <d v="1899-12-30T15:10:31"/>
    <x v="1"/>
    <x v="0"/>
    <s v="0277"/>
    <n v="27.92"/>
    <x v="5"/>
    <x v="97"/>
  </r>
  <r>
    <s v="20758"/>
    <d v="1899-12-30T16:17:28"/>
    <x v="1"/>
    <x v="0"/>
    <s v="0278"/>
    <n v="37.72"/>
    <x v="7"/>
    <x v="97"/>
  </r>
  <r>
    <s v="20759"/>
    <d v="1899-12-30T19:21:19"/>
    <x v="1"/>
    <x v="0"/>
    <s v="0279"/>
    <n v="32.82"/>
    <x v="3"/>
    <x v="97"/>
  </r>
  <r>
    <s v="20760"/>
    <d v="1899-12-30T21:05:09"/>
    <x v="1"/>
    <x v="0"/>
    <s v="0280"/>
    <n v="27.92"/>
    <x v="2"/>
    <x v="97"/>
  </r>
  <r>
    <s v="20761"/>
    <d v="1899-12-30T12:47:50"/>
    <x v="1"/>
    <x v="0"/>
    <s v="0281"/>
    <n v="37.72"/>
    <x v="7"/>
    <x v="98"/>
  </r>
  <r>
    <s v="20762"/>
    <d v="1899-12-30T12:56:48"/>
    <x v="1"/>
    <x v="0"/>
    <s v="0097"/>
    <n v="37.72"/>
    <x v="0"/>
    <x v="98"/>
  </r>
  <r>
    <s v="20763"/>
    <d v="1899-12-30T19:04:28"/>
    <x v="1"/>
    <x v="0"/>
    <s v="0282"/>
    <n v="37.72"/>
    <x v="1"/>
    <x v="98"/>
  </r>
  <r>
    <s v="20764"/>
    <d v="1899-12-30T19:05:23"/>
    <x v="1"/>
    <x v="0"/>
    <s v="0282"/>
    <n v="37.72"/>
    <x v="1"/>
    <x v="98"/>
  </r>
  <r>
    <s v="20765"/>
    <d v="1899-12-30T19:37:24"/>
    <x v="1"/>
    <x v="0"/>
    <s v="0283"/>
    <n v="37.72"/>
    <x v="0"/>
    <x v="98"/>
  </r>
  <r>
    <s v="20766"/>
    <d v="1899-12-30T19:38:20"/>
    <x v="1"/>
    <x v="0"/>
    <s v="0283"/>
    <n v="37.72"/>
    <x v="0"/>
    <x v="98"/>
  </r>
  <r>
    <s v="20767"/>
    <d v="1899-12-30T10:38:04"/>
    <x v="0"/>
    <x v="0"/>
    <s v="0284"/>
    <n v="32.82"/>
    <x v="3"/>
    <x v="99"/>
  </r>
  <r>
    <s v="20768"/>
    <d v="1899-12-30T18:48:25"/>
    <x v="1"/>
    <x v="0"/>
    <s v="0285"/>
    <n v="37.72"/>
    <x v="0"/>
    <x v="99"/>
  </r>
  <r>
    <s v="20769"/>
    <d v="1899-12-30T18:49:36"/>
    <x v="1"/>
    <x v="0"/>
    <s v="0285"/>
    <n v="37.72"/>
    <x v="0"/>
    <x v="99"/>
  </r>
  <r>
    <s v="20770"/>
    <d v="1899-12-30T21:17:03"/>
    <x v="1"/>
    <x v="0"/>
    <s v="0286"/>
    <n v="37.72"/>
    <x v="1"/>
    <x v="99"/>
  </r>
  <r>
    <s v="20771"/>
    <d v="1899-12-30T21:27:42"/>
    <x v="1"/>
    <x v="0"/>
    <s v="0287"/>
    <n v="32.82"/>
    <x v="3"/>
    <x v="99"/>
  </r>
  <r>
    <s v="20772"/>
    <d v="1899-12-30T21:28:50"/>
    <x v="1"/>
    <x v="0"/>
    <s v="0287"/>
    <n v="32.82"/>
    <x v="3"/>
    <x v="99"/>
  </r>
  <r>
    <s v="20773"/>
    <d v="1899-12-30T10:18:19"/>
    <x v="0"/>
    <x v="0"/>
    <s v="0288"/>
    <n v="37.72"/>
    <x v="1"/>
    <x v="100"/>
  </r>
  <r>
    <s v="20774"/>
    <d v="1899-12-30T11:51:44"/>
    <x v="0"/>
    <x v="0"/>
    <s v="0289"/>
    <n v="37.72"/>
    <x v="7"/>
    <x v="100"/>
  </r>
  <r>
    <s v="20775"/>
    <d v="1899-12-30T17:41:17"/>
    <x v="1"/>
    <x v="0"/>
    <s v="0283"/>
    <n v="37.72"/>
    <x v="0"/>
    <x v="100"/>
  </r>
  <r>
    <s v="20776"/>
    <d v="1899-12-30T17:47:28"/>
    <x v="1"/>
    <x v="0"/>
    <s v="0290"/>
    <n v="37.72"/>
    <x v="0"/>
    <x v="100"/>
  </r>
  <r>
    <s v="20777"/>
    <d v="1899-12-30T20:16:34"/>
    <x v="1"/>
    <x v="0"/>
    <s v="0256"/>
    <n v="37.72"/>
    <x v="1"/>
    <x v="100"/>
  </r>
  <r>
    <s v="20778"/>
    <d v="1899-12-30T20:25:34"/>
    <x v="1"/>
    <x v="0"/>
    <s v="0291"/>
    <n v="32.82"/>
    <x v="3"/>
    <x v="100"/>
  </r>
  <r>
    <s v="20779"/>
    <d v="1899-12-30T08:54:24"/>
    <x v="0"/>
    <x v="0"/>
    <s v="0292"/>
    <n v="27.92"/>
    <x v="2"/>
    <x v="101"/>
  </r>
  <r>
    <s v="20780"/>
    <d v="1899-12-30T08:57:26"/>
    <x v="0"/>
    <x v="0"/>
    <s v="0097"/>
    <n v="37.72"/>
    <x v="0"/>
    <x v="101"/>
  </r>
  <r>
    <s v="20781"/>
    <d v="1899-12-30T09:50:25"/>
    <x v="0"/>
    <x v="0"/>
    <s v="0293"/>
    <n v="32.82"/>
    <x v="3"/>
    <x v="101"/>
  </r>
  <r>
    <s v="20782"/>
    <d v="1899-12-30T09:57:12"/>
    <x v="0"/>
    <x v="0"/>
    <s v="0141"/>
    <n v="27.92"/>
    <x v="5"/>
    <x v="101"/>
  </r>
  <r>
    <s v="20783"/>
    <d v="1899-12-30T17:04:59"/>
    <x v="1"/>
    <x v="0"/>
    <s v="0294"/>
    <n v="32.82"/>
    <x v="3"/>
    <x v="101"/>
  </r>
  <r>
    <s v="20784"/>
    <d v="1899-12-30T17:27:47"/>
    <x v="1"/>
    <x v="0"/>
    <s v="0295"/>
    <n v="37.72"/>
    <x v="1"/>
    <x v="101"/>
  </r>
  <r>
    <s v="20785"/>
    <d v="1899-12-30T19:22:19"/>
    <x v="1"/>
    <x v="0"/>
    <s v="0296"/>
    <n v="37.72"/>
    <x v="0"/>
    <x v="101"/>
  </r>
  <r>
    <s v="20786"/>
    <d v="1899-12-30T20:20:52"/>
    <x v="1"/>
    <x v="0"/>
    <s v="0012"/>
    <n v="32.82"/>
    <x v="3"/>
    <x v="101"/>
  </r>
  <r>
    <s v="20787"/>
    <d v="1899-12-30T20:43:46"/>
    <x v="1"/>
    <x v="0"/>
    <s v="0012"/>
    <n v="23.02"/>
    <x v="6"/>
    <x v="101"/>
  </r>
  <r>
    <s v="20788"/>
    <d v="1899-12-30T20:45:01"/>
    <x v="1"/>
    <x v="0"/>
    <s v="0295"/>
    <n v="23.02"/>
    <x v="6"/>
    <x v="101"/>
  </r>
  <r>
    <s v="20789"/>
    <d v="1899-12-30T20:48:18"/>
    <x v="1"/>
    <x v="0"/>
    <s v="0009"/>
    <n v="32.82"/>
    <x v="3"/>
    <x v="101"/>
  </r>
  <r>
    <s v="20790"/>
    <d v="1899-12-30T21:02:28"/>
    <x v="1"/>
    <x v="0"/>
    <s v="0009"/>
    <n v="32.82"/>
    <x v="3"/>
    <x v="101"/>
  </r>
  <r>
    <s v="20791"/>
    <d v="1899-12-30T07:46:13"/>
    <x v="0"/>
    <x v="0"/>
    <s v="0141"/>
    <n v="27.92"/>
    <x v="5"/>
    <x v="102"/>
  </r>
  <r>
    <s v="20792"/>
    <d v="1899-12-30T10:30:32"/>
    <x v="0"/>
    <x v="0"/>
    <s v="0297"/>
    <n v="27.92"/>
    <x v="2"/>
    <x v="102"/>
  </r>
  <r>
    <s v="20793"/>
    <d v="1899-12-30T12:14:42"/>
    <x v="1"/>
    <x v="0"/>
    <s v="0097"/>
    <n v="37.72"/>
    <x v="0"/>
    <x v="102"/>
  </r>
  <r>
    <s v="20794"/>
    <d v="1899-12-30T18:29:53"/>
    <x v="1"/>
    <x v="0"/>
    <s v="0298"/>
    <n v="32.82"/>
    <x v="3"/>
    <x v="102"/>
  </r>
  <r>
    <s v="20795"/>
    <d v="1899-12-30T11:26:02"/>
    <x v="0"/>
    <x v="0"/>
    <s v="0299"/>
    <n v="37.72"/>
    <x v="7"/>
    <x v="103"/>
  </r>
  <r>
    <s v="20796"/>
    <d v="1899-12-30T12:21:28"/>
    <x v="1"/>
    <x v="0"/>
    <s v="0300"/>
    <n v="37.72"/>
    <x v="0"/>
    <x v="103"/>
  </r>
  <r>
    <s v="20797"/>
    <d v="1899-12-30T12:22:47"/>
    <x v="1"/>
    <x v="0"/>
    <s v="0300"/>
    <n v="32.82"/>
    <x v="3"/>
    <x v="103"/>
  </r>
  <r>
    <s v="20798"/>
    <d v="1899-12-30T12:23:52"/>
    <x v="1"/>
    <x v="0"/>
    <s v="0300"/>
    <n v="23.02"/>
    <x v="6"/>
    <x v="103"/>
  </r>
  <r>
    <s v="20799"/>
    <d v="1899-12-30T12:24:35"/>
    <x v="1"/>
    <x v="0"/>
    <s v="0300"/>
    <n v="37.72"/>
    <x v="4"/>
    <x v="103"/>
  </r>
  <r>
    <s v="20800"/>
    <d v="1899-12-30T12:25:24"/>
    <x v="1"/>
    <x v="0"/>
    <s v="0300"/>
    <n v="32.82"/>
    <x v="3"/>
    <x v="103"/>
  </r>
  <r>
    <s v="20801"/>
    <d v="1899-12-30T16:03:30"/>
    <x v="1"/>
    <x v="0"/>
    <s v="0301"/>
    <n v="32.82"/>
    <x v="3"/>
    <x v="103"/>
  </r>
  <r>
    <s v="20802"/>
    <d v="1899-12-30T18:14:05"/>
    <x v="1"/>
    <x v="0"/>
    <s v="0302"/>
    <n v="27.92"/>
    <x v="2"/>
    <x v="103"/>
  </r>
  <r>
    <s v="20803"/>
    <d v="1899-12-30T10:43:51"/>
    <x v="0"/>
    <x v="0"/>
    <s v="0059"/>
    <n v="32.82"/>
    <x v="3"/>
    <x v="104"/>
  </r>
  <r>
    <s v="20804"/>
    <d v="1899-12-30T10:58:41"/>
    <x v="0"/>
    <x v="0"/>
    <s v="0303"/>
    <n v="37.72"/>
    <x v="0"/>
    <x v="104"/>
  </r>
  <r>
    <s v="20805"/>
    <d v="1899-12-30T11:00:38"/>
    <x v="0"/>
    <x v="0"/>
    <s v="0303"/>
    <n v="37.72"/>
    <x v="1"/>
    <x v="104"/>
  </r>
  <r>
    <s v="20806"/>
    <d v="1899-12-30T11:01:41"/>
    <x v="0"/>
    <x v="0"/>
    <s v="0303"/>
    <n v="37.72"/>
    <x v="1"/>
    <x v="104"/>
  </r>
  <r>
    <s v="20807"/>
    <d v="1899-12-30T12:49:28"/>
    <x v="1"/>
    <x v="0"/>
    <s v="0276"/>
    <n v="32.82"/>
    <x v="3"/>
    <x v="104"/>
  </r>
  <r>
    <s v="20808"/>
    <d v="1899-12-30T14:00:39"/>
    <x v="1"/>
    <x v="0"/>
    <s v="0274"/>
    <n v="23.02"/>
    <x v="6"/>
    <x v="104"/>
  </r>
  <r>
    <s v="20809"/>
    <d v="1899-12-30T15:02:36"/>
    <x v="1"/>
    <x v="0"/>
    <s v="0304"/>
    <n v="32.82"/>
    <x v="3"/>
    <x v="104"/>
  </r>
  <r>
    <s v="20810"/>
    <d v="1899-12-30T15:05:10"/>
    <x v="1"/>
    <x v="0"/>
    <s v="0304"/>
    <n v="32.82"/>
    <x v="3"/>
    <x v="104"/>
  </r>
  <r>
    <s v="20811"/>
    <d v="1899-12-30T15:44:00"/>
    <x v="1"/>
    <x v="0"/>
    <s v="0305"/>
    <n v="37.72"/>
    <x v="1"/>
    <x v="104"/>
  </r>
  <r>
    <s v="20812"/>
    <d v="1899-12-30T16:47:37"/>
    <x v="1"/>
    <x v="0"/>
    <s v="0306"/>
    <n v="37.72"/>
    <x v="1"/>
    <x v="104"/>
  </r>
  <r>
    <s v="20813"/>
    <d v="1899-12-30T17:45:17"/>
    <x v="1"/>
    <x v="0"/>
    <s v="0059"/>
    <n v="32.82"/>
    <x v="3"/>
    <x v="104"/>
  </r>
  <r>
    <s v="20814"/>
    <d v="1899-12-30T17:46:17"/>
    <x v="1"/>
    <x v="0"/>
    <s v="0059"/>
    <n v="32.82"/>
    <x v="3"/>
    <x v="104"/>
  </r>
  <r>
    <s v="20815"/>
    <d v="1899-12-30T08:57:24"/>
    <x v="0"/>
    <x v="0"/>
    <s v="0307"/>
    <n v="27.92"/>
    <x v="2"/>
    <x v="105"/>
  </r>
  <r>
    <s v="20816"/>
    <d v="1899-12-30T10:12:05"/>
    <x v="0"/>
    <x v="0"/>
    <s v="0308"/>
    <n v="27.92"/>
    <x v="5"/>
    <x v="105"/>
  </r>
  <r>
    <s v="20817"/>
    <d v="1899-12-30T10:13:38"/>
    <x v="0"/>
    <x v="0"/>
    <s v="0308"/>
    <n v="27.92"/>
    <x v="5"/>
    <x v="105"/>
  </r>
  <r>
    <s v="20818"/>
    <d v="1899-12-30T10:55:52"/>
    <x v="0"/>
    <x v="0"/>
    <s v="0042"/>
    <n v="37.72"/>
    <x v="7"/>
    <x v="105"/>
  </r>
  <r>
    <s v="20819"/>
    <d v="1899-12-30T14:51:35"/>
    <x v="1"/>
    <x v="0"/>
    <s v="0164"/>
    <n v="37.72"/>
    <x v="7"/>
    <x v="105"/>
  </r>
  <r>
    <s v="20820"/>
    <d v="1899-12-30T16:50:13"/>
    <x v="1"/>
    <x v="0"/>
    <s v="0012"/>
    <n v="37.72"/>
    <x v="7"/>
    <x v="105"/>
  </r>
  <r>
    <s v="20821"/>
    <d v="1899-12-30T16:51:11"/>
    <x v="1"/>
    <x v="0"/>
    <s v="0012"/>
    <n v="37.72"/>
    <x v="7"/>
    <x v="105"/>
  </r>
  <r>
    <s v="20822"/>
    <d v="1899-12-30T16:52:36"/>
    <x v="1"/>
    <x v="0"/>
    <s v="0012"/>
    <n v="27.92"/>
    <x v="2"/>
    <x v="105"/>
  </r>
  <r>
    <s v="20823"/>
    <d v="1899-12-30T18:51:20"/>
    <x v="1"/>
    <x v="0"/>
    <s v="0309"/>
    <n v="27.92"/>
    <x v="2"/>
    <x v="105"/>
  </r>
  <r>
    <s v="20824"/>
    <d v="1899-12-30T21:16:11"/>
    <x v="1"/>
    <x v="0"/>
    <s v="0009"/>
    <n v="32.82"/>
    <x v="3"/>
    <x v="105"/>
  </r>
  <r>
    <s v="20825"/>
    <d v="1899-12-30T14:04:06"/>
    <x v="1"/>
    <x v="0"/>
    <s v="0299"/>
    <n v="27.92"/>
    <x v="2"/>
    <x v="106"/>
  </r>
  <r>
    <s v="20826"/>
    <d v="1899-12-30T14:05:12"/>
    <x v="1"/>
    <x v="0"/>
    <s v="0299"/>
    <n v="37.72"/>
    <x v="7"/>
    <x v="106"/>
  </r>
  <r>
    <s v="20827"/>
    <d v="1899-12-30T19:20:41"/>
    <x v="1"/>
    <x v="0"/>
    <s v="0154"/>
    <n v="37.72"/>
    <x v="7"/>
    <x v="106"/>
  </r>
  <r>
    <s v="20828"/>
    <d v="1899-12-30T19:21:39"/>
    <x v="1"/>
    <x v="0"/>
    <s v="0154"/>
    <n v="37.72"/>
    <x v="7"/>
    <x v="106"/>
  </r>
  <r>
    <s v="20829"/>
    <d v="1899-12-30T20:35:49"/>
    <x v="1"/>
    <x v="0"/>
    <s v="0310"/>
    <n v="27.92"/>
    <x v="5"/>
    <x v="106"/>
  </r>
  <r>
    <s v="20830"/>
    <d v="1899-12-30T21:20:50"/>
    <x v="1"/>
    <x v="0"/>
    <s v="0012"/>
    <n v="32.82"/>
    <x v="3"/>
    <x v="106"/>
  </r>
  <r>
    <s v="20831"/>
    <d v="1899-12-30T21:22:19"/>
    <x v="1"/>
    <x v="0"/>
    <s v="0012"/>
    <n v="32.82"/>
    <x v="3"/>
    <x v="106"/>
  </r>
  <r>
    <s v="20832"/>
    <d v="1899-12-30T07:47:20"/>
    <x v="0"/>
    <x v="0"/>
    <s v="0311"/>
    <n v="37.72"/>
    <x v="0"/>
    <x v="107"/>
  </r>
  <r>
    <s v="20833"/>
    <d v="1899-12-30T08:17:55"/>
    <x v="0"/>
    <x v="0"/>
    <s v="0141"/>
    <n v="27.92"/>
    <x v="5"/>
    <x v="107"/>
  </r>
  <r>
    <s v="20834"/>
    <d v="1899-12-30T10:54:00"/>
    <x v="0"/>
    <x v="0"/>
    <s v="0312"/>
    <n v="27.92"/>
    <x v="2"/>
    <x v="107"/>
  </r>
  <r>
    <s v="20835"/>
    <d v="1899-12-30T11:11:28"/>
    <x v="0"/>
    <x v="0"/>
    <s v="0313"/>
    <n v="37.72"/>
    <x v="0"/>
    <x v="107"/>
  </r>
  <r>
    <s v="20836"/>
    <d v="1899-12-30T11:12:31"/>
    <x v="0"/>
    <x v="0"/>
    <s v="0313"/>
    <n v="37.72"/>
    <x v="4"/>
    <x v="107"/>
  </r>
  <r>
    <s v="20837"/>
    <d v="1899-12-30T14:21:36"/>
    <x v="1"/>
    <x v="0"/>
    <s v="0164"/>
    <n v="32.82"/>
    <x v="3"/>
    <x v="107"/>
  </r>
  <r>
    <s v="20838"/>
    <d v="1899-12-30T18:28:43"/>
    <x v="1"/>
    <x v="0"/>
    <s v="0153"/>
    <n v="37.72"/>
    <x v="7"/>
    <x v="107"/>
  </r>
  <r>
    <s v="20839"/>
    <d v="1899-12-30T18:29:59"/>
    <x v="1"/>
    <x v="0"/>
    <s v="0153"/>
    <n v="37.72"/>
    <x v="0"/>
    <x v="107"/>
  </r>
  <r>
    <s v="20840"/>
    <d v="1899-12-30T19:31:31"/>
    <x v="1"/>
    <x v="0"/>
    <s v="0009"/>
    <n v="32.82"/>
    <x v="3"/>
    <x v="107"/>
  </r>
  <r>
    <s v="20841"/>
    <d v="1899-12-30T21:28:59"/>
    <x v="1"/>
    <x v="0"/>
    <s v="0192"/>
    <n v="37.72"/>
    <x v="7"/>
    <x v="107"/>
  </r>
  <r>
    <s v="20842"/>
    <d v="1899-12-30T21:30:03"/>
    <x v="1"/>
    <x v="0"/>
    <s v="0192"/>
    <n v="32.82"/>
    <x v="3"/>
    <x v="107"/>
  </r>
  <r>
    <s v="20843"/>
    <d v="1899-12-30T10:50:06"/>
    <x v="0"/>
    <x v="0"/>
    <s v="0097"/>
    <n v="37.72"/>
    <x v="0"/>
    <x v="108"/>
  </r>
  <r>
    <s v="20844"/>
    <d v="1899-12-30T18:59:02"/>
    <x v="1"/>
    <x v="0"/>
    <s v="0314"/>
    <n v="37.72"/>
    <x v="0"/>
    <x v="108"/>
  </r>
  <r>
    <s v="20845"/>
    <d v="1899-12-30T19:00:00"/>
    <x v="1"/>
    <x v="0"/>
    <s v="0314"/>
    <n v="37.72"/>
    <x v="0"/>
    <x v="108"/>
  </r>
  <r>
    <s v="20846"/>
    <d v="1899-12-30T21:39:10"/>
    <x v="1"/>
    <x v="0"/>
    <s v="0257"/>
    <n v="37.72"/>
    <x v="0"/>
    <x v="108"/>
  </r>
  <r>
    <s v="20847"/>
    <d v="1899-12-30T21:57:41"/>
    <x v="1"/>
    <x v="0"/>
    <s v="0009"/>
    <n v="37.72"/>
    <x v="0"/>
    <x v="108"/>
  </r>
  <r>
    <s v="20848"/>
    <d v="1899-12-30T21:59:18"/>
    <x v="1"/>
    <x v="0"/>
    <s v="0009"/>
    <n v="32.82"/>
    <x v="3"/>
    <x v="108"/>
  </r>
  <r>
    <s v="20849"/>
    <d v="1899-12-30T09:59:56"/>
    <x v="0"/>
    <x v="0"/>
    <s v="0311"/>
    <n v="37.72"/>
    <x v="0"/>
    <x v="109"/>
  </r>
  <r>
    <s v="20850"/>
    <d v="1899-12-30T10:01:40"/>
    <x v="0"/>
    <x v="0"/>
    <s v="0315"/>
    <n v="27.92"/>
    <x v="2"/>
    <x v="109"/>
  </r>
  <r>
    <s v="20851"/>
    <d v="1899-12-30T13:19:19"/>
    <x v="1"/>
    <x v="0"/>
    <s v="0012"/>
    <n v="32.82"/>
    <x v="3"/>
    <x v="109"/>
  </r>
  <r>
    <s v="20852"/>
    <d v="1899-12-30T13:20:32"/>
    <x v="1"/>
    <x v="0"/>
    <s v="0012"/>
    <n v="32.82"/>
    <x v="3"/>
    <x v="109"/>
  </r>
  <r>
    <s v="20853"/>
    <d v="1899-12-30T18:12:16"/>
    <x v="1"/>
    <x v="0"/>
    <s v="0316"/>
    <n v="23.02"/>
    <x v="6"/>
    <x v="109"/>
  </r>
  <r>
    <s v="20854"/>
    <d v="1899-12-30T19:30:27"/>
    <x v="1"/>
    <x v="0"/>
    <s v="0009"/>
    <n v="37.72"/>
    <x v="0"/>
    <x v="109"/>
  </r>
  <r>
    <s v="20855"/>
    <d v="1899-12-30T19:47:06"/>
    <x v="1"/>
    <x v="0"/>
    <s v="0154"/>
    <n v="37.72"/>
    <x v="7"/>
    <x v="109"/>
  </r>
  <r>
    <s v="20856"/>
    <d v="1899-12-30T19:48:07"/>
    <x v="1"/>
    <x v="0"/>
    <s v="0154"/>
    <n v="37.72"/>
    <x v="7"/>
    <x v="109"/>
  </r>
  <r>
    <s v="20857"/>
    <d v="1899-12-30T19:49:55"/>
    <x v="1"/>
    <x v="0"/>
    <s v="0180"/>
    <n v="37.72"/>
    <x v="7"/>
    <x v="109"/>
  </r>
  <r>
    <s v="20858"/>
    <d v="1899-12-30T19:51:00"/>
    <x v="1"/>
    <x v="0"/>
    <s v="0180"/>
    <n v="37.72"/>
    <x v="7"/>
    <x v="109"/>
  </r>
  <r>
    <s v="20859"/>
    <d v="1899-12-30T19:52:19"/>
    <x v="1"/>
    <x v="0"/>
    <s v="0180"/>
    <n v="27.92"/>
    <x v="2"/>
    <x v="109"/>
  </r>
  <r>
    <s v="20860"/>
    <d v="1899-12-30T19:55:37"/>
    <x v="1"/>
    <x v="0"/>
    <s v="0311"/>
    <n v="32.82"/>
    <x v="3"/>
    <x v="109"/>
  </r>
  <r>
    <s v="20861"/>
    <d v="1899-12-30T08:39:50"/>
    <x v="0"/>
    <x v="0"/>
    <s v="0141"/>
    <n v="27.92"/>
    <x v="5"/>
    <x v="110"/>
  </r>
  <r>
    <s v="20862"/>
    <d v="1899-12-30T09:37:49"/>
    <x v="0"/>
    <x v="0"/>
    <s v="0311"/>
    <n v="32.82"/>
    <x v="3"/>
    <x v="110"/>
  </r>
  <r>
    <s v="20863"/>
    <d v="1899-12-30T12:53:16"/>
    <x v="1"/>
    <x v="0"/>
    <s v="0317"/>
    <n v="32.82"/>
    <x v="3"/>
    <x v="110"/>
  </r>
  <r>
    <s v="20864"/>
    <d v="1899-12-30T15:37:20"/>
    <x v="1"/>
    <x v="0"/>
    <s v="0009"/>
    <n v="37.72"/>
    <x v="0"/>
    <x v="110"/>
  </r>
  <r>
    <s v="20865"/>
    <d v="1899-12-30T22:10:23"/>
    <x v="1"/>
    <x v="0"/>
    <s v="0318"/>
    <n v="37.72"/>
    <x v="7"/>
    <x v="110"/>
  </r>
  <r>
    <s v="20866"/>
    <d v="1899-12-30T18:12:01"/>
    <x v="1"/>
    <x v="0"/>
    <s v="0012"/>
    <n v="32.82"/>
    <x v="3"/>
    <x v="111"/>
  </r>
  <r>
    <s v="20867"/>
    <d v="1899-12-30T18:13:51"/>
    <x v="1"/>
    <x v="0"/>
    <s v="0012"/>
    <n v="32.82"/>
    <x v="3"/>
    <x v="111"/>
  </r>
  <r>
    <s v="20868"/>
    <d v="1899-12-30T21:06:47"/>
    <x v="1"/>
    <x v="0"/>
    <s v="0319"/>
    <n v="37.72"/>
    <x v="7"/>
    <x v="111"/>
  </r>
  <r>
    <s v="20869"/>
    <d v="1899-12-30T21:29:08"/>
    <x v="1"/>
    <x v="0"/>
    <s v="0320"/>
    <n v="37.72"/>
    <x v="0"/>
    <x v="111"/>
  </r>
  <r>
    <s v="20870"/>
    <d v="1899-12-30T21:30:36"/>
    <x v="1"/>
    <x v="0"/>
    <s v="0320"/>
    <n v="37.72"/>
    <x v="7"/>
    <x v="111"/>
  </r>
  <r>
    <s v="20871"/>
    <d v="1899-12-30T11:44:40"/>
    <x v="0"/>
    <x v="0"/>
    <s v="0164"/>
    <n v="32.82"/>
    <x v="3"/>
    <x v="112"/>
  </r>
  <r>
    <s v="20872"/>
    <d v="1899-12-30T11:49:36"/>
    <x v="0"/>
    <x v="0"/>
    <s v="0180"/>
    <n v="37.72"/>
    <x v="7"/>
    <x v="112"/>
  </r>
  <r>
    <s v="20873"/>
    <d v="1899-12-30T11:50:44"/>
    <x v="0"/>
    <x v="0"/>
    <s v="0180"/>
    <n v="37.72"/>
    <x v="7"/>
    <x v="112"/>
  </r>
  <r>
    <s v="20874"/>
    <d v="1899-12-30T15:02:29"/>
    <x v="1"/>
    <x v="0"/>
    <s v="0321"/>
    <n v="37.72"/>
    <x v="0"/>
    <x v="112"/>
  </r>
  <r>
    <s v="20875"/>
    <d v="1899-12-30T16:46:01"/>
    <x v="1"/>
    <x v="0"/>
    <s v="0203"/>
    <n v="37.72"/>
    <x v="7"/>
    <x v="112"/>
  </r>
  <r>
    <s v="20876"/>
    <d v="1899-12-30T16:47:00"/>
    <x v="1"/>
    <x v="0"/>
    <s v="0203"/>
    <n v="37.72"/>
    <x v="7"/>
    <x v="112"/>
  </r>
  <r>
    <s v="20877"/>
    <d v="1899-12-30T08:19:24"/>
    <x v="0"/>
    <x v="0"/>
    <s v="0322"/>
    <n v="37.72"/>
    <x v="0"/>
    <x v="113"/>
  </r>
  <r>
    <s v="20878"/>
    <d v="1899-12-30T10:28:26"/>
    <x v="0"/>
    <x v="0"/>
    <s v="0012"/>
    <n v="32.82"/>
    <x v="3"/>
    <x v="113"/>
  </r>
  <r>
    <s v="20879"/>
    <d v="1899-12-30T10:29:42"/>
    <x v="0"/>
    <x v="0"/>
    <s v="0040"/>
    <n v="32.82"/>
    <x v="3"/>
    <x v="113"/>
  </r>
  <r>
    <s v="20880"/>
    <d v="1899-12-30T11:34:52"/>
    <x v="0"/>
    <x v="0"/>
    <s v="0203"/>
    <n v="37.72"/>
    <x v="7"/>
    <x v="113"/>
  </r>
  <r>
    <s v="20881"/>
    <d v="1899-12-30T09:33:02"/>
    <x v="0"/>
    <x v="0"/>
    <s v="0323"/>
    <n v="37.72"/>
    <x v="0"/>
    <x v="114"/>
  </r>
  <r>
    <s v="20882"/>
    <d v="1899-12-30T16:32:29"/>
    <x v="1"/>
    <x v="0"/>
    <s v="0324"/>
    <n v="23.02"/>
    <x v="6"/>
    <x v="114"/>
  </r>
  <r>
    <s v="20883"/>
    <d v="1899-12-30T16:34:02"/>
    <x v="1"/>
    <x v="0"/>
    <s v="0325"/>
    <n v="27.92"/>
    <x v="2"/>
    <x v="114"/>
  </r>
  <r>
    <s v="20884"/>
    <d v="1899-12-30T21:21:53"/>
    <x v="1"/>
    <x v="0"/>
    <s v="0009"/>
    <n v="37.72"/>
    <x v="0"/>
    <x v="114"/>
  </r>
  <r>
    <s v="20885"/>
    <d v="1899-12-30T21:27:01"/>
    <x v="1"/>
    <x v="0"/>
    <s v="0009"/>
    <n v="37.72"/>
    <x v="7"/>
    <x v="114"/>
  </r>
  <r>
    <s v="20886"/>
    <d v="1899-12-30T21:28:15"/>
    <x v="1"/>
    <x v="0"/>
    <s v="0206"/>
    <n v="32.82"/>
    <x v="3"/>
    <x v="114"/>
  </r>
  <r>
    <s v="20887"/>
    <d v="1899-12-30T09:15:43"/>
    <x v="0"/>
    <x v="0"/>
    <s v="0326"/>
    <n v="32.82"/>
    <x v="3"/>
    <x v="115"/>
  </r>
  <r>
    <s v="20888"/>
    <d v="1899-12-30T16:11:48"/>
    <x v="1"/>
    <x v="0"/>
    <s v="0327"/>
    <n v="27.92"/>
    <x v="5"/>
    <x v="115"/>
  </r>
  <r>
    <s v="20889"/>
    <d v="1899-12-30T21:44:03"/>
    <x v="1"/>
    <x v="0"/>
    <s v="0328"/>
    <n v="32.82"/>
    <x v="3"/>
    <x v="115"/>
  </r>
  <r>
    <s v="20890"/>
    <d v="1899-12-30T21:50:32"/>
    <x v="1"/>
    <x v="0"/>
    <s v="0329"/>
    <n v="37.72"/>
    <x v="7"/>
    <x v="115"/>
  </r>
  <r>
    <s v="20891"/>
    <d v="1899-12-30T08:08:35"/>
    <x v="0"/>
    <x v="0"/>
    <s v="0141"/>
    <n v="27.92"/>
    <x v="5"/>
    <x v="116"/>
  </r>
  <r>
    <s v="20892"/>
    <d v="1899-12-30T17:51:54"/>
    <x v="1"/>
    <x v="0"/>
    <s v="0274"/>
    <n v="23.02"/>
    <x v="6"/>
    <x v="116"/>
  </r>
  <r>
    <s v="20893"/>
    <d v="1899-12-30T21:50:55"/>
    <x v="1"/>
    <x v="0"/>
    <s v="0330"/>
    <n v="32.82"/>
    <x v="3"/>
    <x v="116"/>
  </r>
  <r>
    <s v="20894"/>
    <d v="1899-12-30T21:52:02"/>
    <x v="1"/>
    <x v="0"/>
    <s v="0331"/>
    <n v="37.72"/>
    <x v="0"/>
    <x v="116"/>
  </r>
  <r>
    <s v="20895"/>
    <d v="1899-12-30T22:28:20"/>
    <x v="1"/>
    <x v="0"/>
    <s v="0332"/>
    <n v="37.72"/>
    <x v="7"/>
    <x v="116"/>
  </r>
  <r>
    <s v="20896"/>
    <d v="1899-12-30T09:47:10"/>
    <x v="0"/>
    <x v="0"/>
    <s v="0097"/>
    <n v="32.82"/>
    <x v="3"/>
    <x v="117"/>
  </r>
  <r>
    <s v="20897"/>
    <d v="1899-12-30T11:40:20"/>
    <x v="0"/>
    <x v="0"/>
    <s v="0333"/>
    <n v="32.82"/>
    <x v="3"/>
    <x v="117"/>
  </r>
  <r>
    <s v="20898"/>
    <d v="1899-12-30T11:41:27"/>
    <x v="0"/>
    <x v="0"/>
    <s v="0333"/>
    <n v="32.82"/>
    <x v="3"/>
    <x v="117"/>
  </r>
  <r>
    <s v="20899"/>
    <d v="1899-12-30T12:30:24"/>
    <x v="1"/>
    <x v="0"/>
    <s v="0334"/>
    <n v="37.72"/>
    <x v="7"/>
    <x v="117"/>
  </r>
  <r>
    <s v="20900"/>
    <d v="1899-12-30T12:31:43"/>
    <x v="1"/>
    <x v="0"/>
    <s v="0334"/>
    <n v="37.72"/>
    <x v="7"/>
    <x v="117"/>
  </r>
  <r>
    <s v="20901"/>
    <d v="1899-12-30T17:23:44"/>
    <x v="1"/>
    <x v="0"/>
    <s v="0335"/>
    <n v="37.72"/>
    <x v="7"/>
    <x v="117"/>
  </r>
  <r>
    <s v="20902"/>
    <d v="1899-12-30T17:24:52"/>
    <x v="1"/>
    <x v="0"/>
    <s v="0335"/>
    <n v="37.72"/>
    <x v="1"/>
    <x v="117"/>
  </r>
  <r>
    <s v="20903"/>
    <d v="1899-12-30T21:27:22"/>
    <x v="1"/>
    <x v="0"/>
    <s v="0009"/>
    <n v="37.72"/>
    <x v="0"/>
    <x v="117"/>
  </r>
  <r>
    <s v="20904"/>
    <d v="1899-12-30T10:28:10"/>
    <x v="0"/>
    <x v="0"/>
    <s v="0336"/>
    <n v="37.72"/>
    <x v="0"/>
    <x v="118"/>
  </r>
  <r>
    <s v="20905"/>
    <d v="1899-12-30T13:05:51"/>
    <x v="1"/>
    <x v="0"/>
    <s v="0337"/>
    <n v="23.02"/>
    <x v="6"/>
    <x v="118"/>
  </r>
  <r>
    <s v="20906"/>
    <d v="1899-12-30T16:54:42"/>
    <x v="1"/>
    <x v="0"/>
    <s v="0009"/>
    <n v="37.72"/>
    <x v="1"/>
    <x v="118"/>
  </r>
  <r>
    <s v="20907"/>
    <d v="1899-12-30T21:04:10"/>
    <x v="1"/>
    <x v="0"/>
    <s v="0097"/>
    <n v="32.82"/>
    <x v="3"/>
    <x v="118"/>
  </r>
  <r>
    <s v="20908"/>
    <d v="1899-12-30T18:07:27"/>
    <x v="1"/>
    <x v="0"/>
    <s v="0012"/>
    <n v="23.02"/>
    <x v="6"/>
    <x v="119"/>
  </r>
  <r>
    <s v="20909"/>
    <d v="1899-12-30T18:56:52"/>
    <x v="1"/>
    <x v="0"/>
    <s v="0338"/>
    <n v="37.72"/>
    <x v="7"/>
    <x v="119"/>
  </r>
  <r>
    <s v="20910"/>
    <d v="1899-12-30T18:57:54"/>
    <x v="1"/>
    <x v="0"/>
    <s v="0339"/>
    <n v="37.72"/>
    <x v="7"/>
    <x v="119"/>
  </r>
  <r>
    <s v="20911"/>
    <d v="1899-12-30T10:42:54"/>
    <x v="0"/>
    <x v="0"/>
    <s v="0304"/>
    <n v="32.82"/>
    <x v="3"/>
    <x v="120"/>
  </r>
  <r>
    <s v="20912"/>
    <d v="1899-12-30T10:45:01"/>
    <x v="0"/>
    <x v="0"/>
    <s v="0304"/>
    <n v="27.92"/>
    <x v="2"/>
    <x v="120"/>
  </r>
  <r>
    <s v="20913"/>
    <d v="1899-12-30T12:48:05"/>
    <x v="1"/>
    <x v="0"/>
    <s v="0019"/>
    <n v="37.72"/>
    <x v="0"/>
    <x v="120"/>
  </r>
  <r>
    <s v="20914"/>
    <d v="1899-12-30T14:03:13"/>
    <x v="1"/>
    <x v="0"/>
    <s v="0340"/>
    <n v="27.92"/>
    <x v="2"/>
    <x v="120"/>
  </r>
  <r>
    <s v="20915"/>
    <d v="1899-12-30T16:31:24"/>
    <x v="1"/>
    <x v="0"/>
    <s v="0341"/>
    <n v="32.82"/>
    <x v="3"/>
    <x v="120"/>
  </r>
  <r>
    <s v="20916"/>
    <d v="1899-12-30T22:02:24"/>
    <x v="1"/>
    <x v="0"/>
    <s v="0329"/>
    <n v="32.82"/>
    <x v="3"/>
    <x v="120"/>
  </r>
  <r>
    <s v="20917"/>
    <d v="1899-12-30T13:51:15"/>
    <x v="1"/>
    <x v="0"/>
    <s v="0012"/>
    <n v="32.82"/>
    <x v="3"/>
    <x v="121"/>
  </r>
  <r>
    <s v="20918"/>
    <d v="1899-12-30T16:01:17"/>
    <x v="1"/>
    <x v="0"/>
    <s v="0342"/>
    <n v="37.72"/>
    <x v="7"/>
    <x v="121"/>
  </r>
  <r>
    <s v="20919"/>
    <d v="1899-12-30T16:50:25"/>
    <x v="1"/>
    <x v="0"/>
    <s v="0343"/>
    <n v="37.72"/>
    <x v="7"/>
    <x v="121"/>
  </r>
  <r>
    <s v="20920"/>
    <d v="1899-12-30T16:53:16"/>
    <x v="1"/>
    <x v="0"/>
    <s v="0270"/>
    <n v="32.82"/>
    <x v="3"/>
    <x v="121"/>
  </r>
  <r>
    <s v="20921"/>
    <d v="1899-12-30T16:54:23"/>
    <x v="1"/>
    <x v="0"/>
    <s v="0344"/>
    <n v="32.82"/>
    <x v="3"/>
    <x v="121"/>
  </r>
  <r>
    <s v="20922"/>
    <d v="1899-12-30T16:55:31"/>
    <x v="1"/>
    <x v="0"/>
    <s v="0270"/>
    <n v="37.72"/>
    <x v="0"/>
    <x v="121"/>
  </r>
  <r>
    <s v="20923"/>
    <d v="1899-12-30T16:59:26"/>
    <x v="1"/>
    <x v="0"/>
    <s v="0345"/>
    <n v="23.02"/>
    <x v="6"/>
    <x v="121"/>
  </r>
  <r>
    <s v="20924"/>
    <d v="1899-12-30T17:59:02"/>
    <x v="1"/>
    <x v="0"/>
    <s v="0346"/>
    <n v="37.72"/>
    <x v="7"/>
    <x v="121"/>
  </r>
  <r>
    <s v="20925"/>
    <d v="1899-12-30T19:06:09"/>
    <x v="1"/>
    <x v="0"/>
    <s v="0009"/>
    <n v="37.72"/>
    <x v="0"/>
    <x v="121"/>
  </r>
  <r>
    <s v="20926"/>
    <d v="1899-12-30T10:26:24"/>
    <x v="0"/>
    <x v="0"/>
    <s v="0143"/>
    <n v="32.82"/>
    <x v="3"/>
    <x v="122"/>
  </r>
  <r>
    <s v="20927"/>
    <d v="1899-12-30T10:27:30"/>
    <x v="0"/>
    <x v="0"/>
    <s v="0012"/>
    <n v="27.92"/>
    <x v="2"/>
    <x v="122"/>
  </r>
  <r>
    <s v="20928"/>
    <d v="1899-12-30T12:20:29"/>
    <x v="1"/>
    <x v="0"/>
    <s v="0058"/>
    <n v="37.72"/>
    <x v="4"/>
    <x v="123"/>
  </r>
  <r>
    <s v="20929"/>
    <d v="1899-12-30T13:43:43"/>
    <x v="1"/>
    <x v="0"/>
    <s v="0040"/>
    <n v="32.82"/>
    <x v="3"/>
    <x v="123"/>
  </r>
  <r>
    <s v="20930"/>
    <d v="1899-12-30T13:44:44"/>
    <x v="1"/>
    <x v="0"/>
    <s v="0347"/>
    <n v="32.82"/>
    <x v="3"/>
    <x v="123"/>
  </r>
  <r>
    <s v="20931"/>
    <d v="1899-12-30T18:55:56"/>
    <x v="1"/>
    <x v="0"/>
    <s v="0348"/>
    <n v="23.02"/>
    <x v="6"/>
    <x v="123"/>
  </r>
  <r>
    <s v="20932"/>
    <d v="1899-12-30T19:55:08"/>
    <x v="1"/>
    <x v="0"/>
    <s v="0099"/>
    <n v="27.92"/>
    <x v="2"/>
    <x v="123"/>
  </r>
  <r>
    <s v="20933"/>
    <d v="1899-12-30T22:11:56"/>
    <x v="1"/>
    <x v="0"/>
    <s v="0349"/>
    <n v="23.02"/>
    <x v="6"/>
    <x v="123"/>
  </r>
  <r>
    <s v="20934"/>
    <d v="1899-12-30T22:18:03"/>
    <x v="1"/>
    <x v="0"/>
    <s v="0350"/>
    <n v="27.92"/>
    <x v="2"/>
    <x v="123"/>
  </r>
  <r>
    <s v="20935"/>
    <d v="1899-12-30T22:18:57"/>
    <x v="1"/>
    <x v="0"/>
    <s v="0350"/>
    <n v="27.92"/>
    <x v="2"/>
    <x v="123"/>
  </r>
  <r>
    <s v="20936"/>
    <d v="1899-12-30T22:20:01"/>
    <x v="1"/>
    <x v="0"/>
    <s v="0351"/>
    <n v="37.72"/>
    <x v="7"/>
    <x v="123"/>
  </r>
  <r>
    <s v="20937"/>
    <d v="1899-12-30T22:21:09"/>
    <x v="1"/>
    <x v="0"/>
    <s v="0351"/>
    <n v="32.82"/>
    <x v="3"/>
    <x v="123"/>
  </r>
  <r>
    <s v="20938"/>
    <d v="1899-12-30T10:28:07"/>
    <x v="0"/>
    <x v="0"/>
    <s v="0352"/>
    <n v="37.72"/>
    <x v="0"/>
    <x v="124"/>
  </r>
  <r>
    <s v="20939"/>
    <d v="1899-12-30T17:15:46"/>
    <x v="1"/>
    <x v="0"/>
    <s v="0009"/>
    <n v="32.82"/>
    <x v="0"/>
    <x v="124"/>
  </r>
  <r>
    <s v="20940"/>
    <d v="1899-12-30T17:17:01"/>
    <x v="1"/>
    <x v="0"/>
    <s v="0009"/>
    <n v="32.82"/>
    <x v="0"/>
    <x v="124"/>
  </r>
  <r>
    <s v="20941"/>
    <d v="1899-12-30T19:09:46"/>
    <x v="1"/>
    <x v="0"/>
    <s v="0012"/>
    <n v="32.82"/>
    <x v="0"/>
    <x v="124"/>
  </r>
  <r>
    <s v="20942"/>
    <d v="1899-12-30T19:10:40"/>
    <x v="1"/>
    <x v="0"/>
    <s v="0012"/>
    <n v="27.92"/>
    <x v="3"/>
    <x v="124"/>
  </r>
  <r>
    <s v="20943"/>
    <d v="1899-12-30T09:04:20"/>
    <x v="0"/>
    <x v="0"/>
    <s v="0303"/>
    <n v="32.82"/>
    <x v="7"/>
    <x v="125"/>
  </r>
  <r>
    <s v="20944"/>
    <d v="1899-12-30T09:14:29"/>
    <x v="0"/>
    <x v="0"/>
    <s v="0353"/>
    <n v="27.92"/>
    <x v="3"/>
    <x v="125"/>
  </r>
  <r>
    <s v="20945"/>
    <d v="1899-12-30T09:15:37"/>
    <x v="0"/>
    <x v="0"/>
    <s v="0353"/>
    <n v="27.92"/>
    <x v="3"/>
    <x v="125"/>
  </r>
  <r>
    <s v="20946"/>
    <d v="1899-12-30T09:28:49"/>
    <x v="0"/>
    <x v="0"/>
    <s v="0354"/>
    <n v="32.82"/>
    <x v="7"/>
    <x v="125"/>
  </r>
  <r>
    <s v="20947"/>
    <d v="1899-12-30T09:29:56"/>
    <x v="0"/>
    <x v="0"/>
    <s v="0354"/>
    <n v="32.82"/>
    <x v="7"/>
    <x v="125"/>
  </r>
  <r>
    <s v="20948"/>
    <d v="1899-12-30T14:56:30"/>
    <x v="1"/>
    <x v="0"/>
    <s v="0355"/>
    <n v="32.82"/>
    <x v="1"/>
    <x v="125"/>
  </r>
  <r>
    <s v="20949"/>
    <d v="1899-12-30T14:57:47"/>
    <x v="1"/>
    <x v="0"/>
    <s v="0355"/>
    <n v="32.82"/>
    <x v="4"/>
    <x v="125"/>
  </r>
  <r>
    <s v="20950"/>
    <d v="1899-12-30T17:07:50"/>
    <x v="1"/>
    <x v="0"/>
    <s v="0356"/>
    <n v="32.82"/>
    <x v="0"/>
    <x v="125"/>
  </r>
  <r>
    <s v="20951"/>
    <d v="1899-12-30T19:33:27"/>
    <x v="1"/>
    <x v="0"/>
    <s v="0357"/>
    <n v="32.82"/>
    <x v="7"/>
    <x v="125"/>
  </r>
  <r>
    <s v="20952"/>
    <d v="1899-12-30T20:01:32"/>
    <x v="1"/>
    <x v="0"/>
    <s v="0358"/>
    <n v="32.82"/>
    <x v="1"/>
    <x v="125"/>
  </r>
  <r>
    <s v="20953"/>
    <d v="1899-12-30T22:33:36"/>
    <x v="1"/>
    <x v="0"/>
    <s v="0359"/>
    <n v="27.92"/>
    <x v="3"/>
    <x v="125"/>
  </r>
  <r>
    <s v="20954"/>
    <d v="1899-12-30T07:33:08"/>
    <x v="0"/>
    <x v="0"/>
    <s v="0360"/>
    <n v="32.82"/>
    <x v="0"/>
    <x v="126"/>
  </r>
  <r>
    <s v="20955"/>
    <d v="1899-12-30T12:02:50"/>
    <x v="1"/>
    <x v="0"/>
    <s v="0361"/>
    <n v="23.02"/>
    <x v="2"/>
    <x v="126"/>
  </r>
  <r>
    <s v="20956"/>
    <d v="1899-12-30T14:40:24"/>
    <x v="1"/>
    <x v="0"/>
    <s v="0362"/>
    <n v="23.02"/>
    <x v="2"/>
    <x v="126"/>
  </r>
  <r>
    <s v="20957"/>
    <d v="1899-12-30T19:30:35"/>
    <x v="1"/>
    <x v="0"/>
    <s v="0363"/>
    <n v="27.92"/>
    <x v="3"/>
    <x v="126"/>
  </r>
  <r>
    <s v="20958"/>
    <d v="1899-12-30T22:14:46"/>
    <x v="1"/>
    <x v="0"/>
    <s v="0019"/>
    <n v="32.82"/>
    <x v="0"/>
    <x v="126"/>
  </r>
  <r>
    <s v="20959"/>
    <d v="1899-12-30T10:26:52"/>
    <x v="0"/>
    <x v="0"/>
    <s v="0333"/>
    <n v="27.92"/>
    <x v="3"/>
    <x v="127"/>
  </r>
  <r>
    <s v="20960"/>
    <d v="1899-12-30T10:40:29"/>
    <x v="0"/>
    <x v="0"/>
    <s v="0276"/>
    <n v="27.92"/>
    <x v="3"/>
    <x v="127"/>
  </r>
  <r>
    <s v="20961"/>
    <d v="1899-12-30T11:21:36"/>
    <x v="0"/>
    <x v="0"/>
    <s v="0194"/>
    <n v="27.92"/>
    <x v="3"/>
    <x v="127"/>
  </r>
  <r>
    <s v="20962"/>
    <d v="1899-12-30T11:22:50"/>
    <x v="0"/>
    <x v="0"/>
    <s v="0194"/>
    <n v="32.82"/>
    <x v="7"/>
    <x v="127"/>
  </r>
  <r>
    <s v="20963"/>
    <d v="1899-12-30T16:43:00"/>
    <x v="1"/>
    <x v="0"/>
    <s v="0364"/>
    <n v="27.92"/>
    <x v="3"/>
    <x v="127"/>
  </r>
  <r>
    <s v="20964"/>
    <d v="1899-12-30T11:10:42"/>
    <x v="0"/>
    <x v="0"/>
    <s v="0365"/>
    <n v="23.02"/>
    <x v="2"/>
    <x v="128"/>
  </r>
  <r>
    <s v="20965"/>
    <d v="1899-12-30T12:28:54"/>
    <x v="1"/>
    <x v="0"/>
    <s v="0366"/>
    <n v="27.92"/>
    <x v="3"/>
    <x v="128"/>
  </r>
  <r>
    <s v="20966"/>
    <d v="1899-12-30T22:13:10"/>
    <x v="1"/>
    <x v="0"/>
    <s v="0328"/>
    <n v="32.82"/>
    <x v="0"/>
    <x v="128"/>
  </r>
  <r>
    <s v="20967"/>
    <d v="1899-12-30T11:27:28"/>
    <x v="0"/>
    <x v="0"/>
    <s v="0367"/>
    <n v="32.82"/>
    <x v="1"/>
    <x v="129"/>
  </r>
  <r>
    <s v="20968"/>
    <d v="1899-12-30T16:48:19"/>
    <x v="1"/>
    <x v="0"/>
    <s v="0368"/>
    <n v="27.92"/>
    <x v="3"/>
    <x v="129"/>
  </r>
  <r>
    <s v="20969"/>
    <d v="1899-12-30T22:22:14"/>
    <x v="1"/>
    <x v="0"/>
    <s v="0369"/>
    <n v="32.82"/>
    <x v="0"/>
    <x v="129"/>
  </r>
  <r>
    <s v="20970"/>
    <d v="1899-12-30T22:30:59"/>
    <x v="1"/>
    <x v="0"/>
    <s v="0370"/>
    <n v="23.02"/>
    <x v="2"/>
    <x v="129"/>
  </r>
  <r>
    <s v="20971"/>
    <d v="1899-12-30T08:03:17"/>
    <x v="0"/>
    <x v="0"/>
    <s v="0371"/>
    <n v="23.02"/>
    <x v="5"/>
    <x v="130"/>
  </r>
  <r>
    <s v="20972"/>
    <d v="1899-12-30T11:48:33"/>
    <x v="0"/>
    <x v="0"/>
    <s v="0372"/>
    <n v="32.82"/>
    <x v="1"/>
    <x v="130"/>
  </r>
  <r>
    <s v="20973"/>
    <d v="1899-12-30T22:33:26"/>
    <x v="1"/>
    <x v="0"/>
    <s v="0178"/>
    <n v="32.82"/>
    <x v="1"/>
    <x v="130"/>
  </r>
  <r>
    <s v="20974"/>
    <d v="1899-12-30T22:34:14"/>
    <x v="1"/>
    <x v="0"/>
    <s v="0177"/>
    <n v="32.82"/>
    <x v="1"/>
    <x v="130"/>
  </r>
  <r>
    <s v="20975"/>
    <d v="1899-12-30T22:35:30"/>
    <x v="1"/>
    <x v="0"/>
    <s v="0179"/>
    <n v="32.82"/>
    <x v="1"/>
    <x v="130"/>
  </r>
  <r>
    <s v="20976"/>
    <d v="1899-12-30T10:38:10"/>
    <x v="0"/>
    <x v="0"/>
    <s v="0365"/>
    <n v="32.82"/>
    <x v="0"/>
    <x v="131"/>
  </r>
  <r>
    <s v="20977"/>
    <d v="1899-12-30T11:41:38"/>
    <x v="0"/>
    <x v="0"/>
    <s v="0365"/>
    <n v="32.82"/>
    <x v="0"/>
    <x v="131"/>
  </r>
  <r>
    <s v="20978"/>
    <d v="1899-12-30T10:54:24"/>
    <x v="0"/>
    <x v="0"/>
    <s v="0373"/>
    <n v="23.02"/>
    <x v="2"/>
    <x v="132"/>
  </r>
  <r>
    <s v="20979"/>
    <d v="1899-12-30T10:55:31"/>
    <x v="0"/>
    <x v="0"/>
    <s v="0373"/>
    <n v="27.92"/>
    <x v="3"/>
    <x v="132"/>
  </r>
  <r>
    <s v="20980"/>
    <d v="1899-12-30T10:56:30"/>
    <x v="0"/>
    <x v="0"/>
    <s v="0373"/>
    <n v="32.82"/>
    <x v="7"/>
    <x v="132"/>
  </r>
  <r>
    <s v="20981"/>
    <d v="1899-12-30T10:57:54"/>
    <x v="0"/>
    <x v="0"/>
    <s v="0374"/>
    <n v="32.82"/>
    <x v="0"/>
    <x v="132"/>
  </r>
  <r>
    <s v="20982"/>
    <d v="1899-12-30T11:02:12"/>
    <x v="0"/>
    <x v="0"/>
    <s v="0375"/>
    <n v="23.02"/>
    <x v="2"/>
    <x v="132"/>
  </r>
  <r>
    <s v="20983"/>
    <d v="1899-12-30T22:31:30"/>
    <x v="1"/>
    <x v="0"/>
    <s v="0376"/>
    <n v="32.82"/>
    <x v="0"/>
    <x v="132"/>
  </r>
  <r>
    <s v="20984"/>
    <d v="1899-12-30T07:33:06"/>
    <x v="0"/>
    <x v="0"/>
    <s v="0377"/>
    <n v="32.82"/>
    <x v="7"/>
    <x v="133"/>
  </r>
  <r>
    <s v="20985"/>
    <d v="1899-12-30T12:23:37"/>
    <x v="1"/>
    <x v="0"/>
    <s v="0378"/>
    <n v="27.92"/>
    <x v="3"/>
    <x v="134"/>
  </r>
  <r>
    <s v="20986"/>
    <d v="1899-12-30T19:29:25"/>
    <x v="1"/>
    <x v="0"/>
    <s v="0367"/>
    <n v="32.82"/>
    <x v="1"/>
    <x v="134"/>
  </r>
  <r>
    <s v="20987"/>
    <d v="1899-12-30T13:05:00"/>
    <x v="1"/>
    <x v="0"/>
    <s v="0379"/>
    <n v="27.92"/>
    <x v="3"/>
    <x v="1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4A5E30-E5D8-4CAC-8A0E-33468B0C3B39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6" rowHeaderCaption="Coffee Name">
  <location ref="A3:B11" firstHeaderRow="1" firstDataRow="1" firstDataCol="1"/>
  <pivotFields count="10">
    <pivotField showAll="0"/>
    <pivotField numFmtId="164" showAll="0"/>
    <pivotField showAll="0"/>
    <pivotField showAll="0"/>
    <pivotField showAll="0"/>
    <pivotField dataField="1" showAll="0"/>
    <pivotField axis="axisRow" showAll="0" sortType="descending">
      <items count="9">
        <item x="2"/>
        <item x="3"/>
        <item x="7"/>
        <item x="4"/>
        <item x="5"/>
        <item x="6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1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8">
    <i>
      <x v="7"/>
    </i>
    <i>
      <x v="1"/>
    </i>
    <i>
      <x v="2"/>
    </i>
    <i>
      <x/>
    </i>
    <i>
      <x v="6"/>
    </i>
    <i>
      <x v="4"/>
    </i>
    <i>
      <x v="3"/>
    </i>
    <i>
      <x v="5"/>
    </i>
  </rowItems>
  <colItems count="1">
    <i/>
  </colItems>
  <dataFields count="1">
    <dataField name="Sales Total" fld="5" baseField="6" baseItem="7"/>
  </dataFields>
  <chartFormats count="19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35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9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35" format="20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5" format="2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5" format="2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5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35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5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5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C37685-E922-47FA-A3C1-BAF6AA68FBE6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2">
  <location ref="A30:B39" firstHeaderRow="1" firstDataRow="1" firstDataCol="1"/>
  <pivotFields count="10">
    <pivotField dataField="1" showAll="0"/>
    <pivotField numFmtId="164" showAll="0"/>
    <pivotField showAll="0"/>
    <pivotField showAll="0"/>
    <pivotField showAll="0"/>
    <pivotField showAll="0"/>
    <pivotField axis="axisRow" showAll="0" sortType="descending">
      <items count="9">
        <item x="2"/>
        <item x="3"/>
        <item x="7"/>
        <item x="4"/>
        <item x="5"/>
        <item x="6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1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1"/>
    </i>
    <i>
      <x v="7"/>
    </i>
    <i>
      <x v="2"/>
    </i>
    <i>
      <x/>
    </i>
    <i>
      <x v="4"/>
    </i>
    <i>
      <x v="6"/>
    </i>
    <i>
      <x v="5"/>
    </i>
    <i>
      <x v="3"/>
    </i>
    <i t="grand">
      <x/>
    </i>
  </rowItems>
  <colItems count="1">
    <i/>
  </colItems>
  <dataFields count="1">
    <dataField name="Count of Sales_ID" fld="0" subtotal="count" baseField="0" baseItem="0"/>
  </dataFields>
  <chartFormats count="19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0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1" format="2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21" format="22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1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1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1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21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21" format="27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E01E86-2454-4FE9-B65A-A9927CA8A42D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 rowHeaderCaption="Time period">
  <location ref="AA3:AB6" firstHeaderRow="1" firstDataRow="1" firstDataCol="1"/>
  <pivotFields count="10">
    <pivotField dataField="1" showAll="0"/>
    <pivotField numFmtId="164"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numFmtId="14" showAll="0">
      <items count="1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t="default"/>
      </items>
    </pivotField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Sales_ID" fld="0" subtotal="count" baseField="0" baseItem="0"/>
  </dataFields>
  <chartFormats count="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EF1DAB-217C-476F-AC28-8AEFBE0E3CF4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2" rowHeaderCaption="Payment method">
  <location ref="R3:S6" firstHeaderRow="1" firstDataRow="1" firstDataCol="1"/>
  <pivotFields count="10">
    <pivotField dataField="1" showAll="0"/>
    <pivotField numFmtId="164"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numFmtId="14" showAll="0">
      <items count="1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Patrons " fld="0" subtotal="count" baseField="3" baseItem="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2135F-0B8C-47D4-9458-3F93AC48902B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5" rowHeaderCaption="Month">
  <location ref="J3:K8" firstHeaderRow="1" firstDataRow="1" firstDataCol="1"/>
  <pivotFields count="10">
    <pivotField showAll="0"/>
    <pivotField numFmtId="164" showAll="0"/>
    <pivotField showAll="0"/>
    <pivotField showAll="0"/>
    <pivotField showAll="0"/>
    <pivotField dataField="1" showAll="0"/>
    <pivotField showAll="0"/>
    <pivotField numFmtId="14" showAll="0">
      <items count="1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 sortType="ascending">
      <items count="15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0"/>
        <item sd="0" x="13"/>
        <item t="default"/>
      </items>
    </pivotField>
  </pivotFields>
  <rowFields count="1">
    <field x="9"/>
  </rowFields>
  <rowItems count="5"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 of Sales" fld="5" baseField="0" baseItem="0"/>
  </dataFields>
  <chartFormats count="24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9" format="16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9" format="17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7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3" format="8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3" format="9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3" format="10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3" format="1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4" format="14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4" format="15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4" format="16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4" format="17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F393340-9BCA-42D0-A5E2-0ED6E349D257}" autoFormatId="16" applyNumberFormats="0" applyBorderFormats="0" applyFontFormats="0" applyPatternFormats="0" applyAlignmentFormats="0" applyWidthHeightFormats="0">
  <queryTableRefresh nextId="9">
    <queryTableFields count="8">
      <queryTableField id="1" name="Sales_ID" tableColumnId="1"/>
      <queryTableField id="2" name="Time" tableColumnId="2"/>
      <queryTableField id="3" name="Time_period" tableColumnId="3"/>
      <queryTableField id="4" name="Payment_method" tableColumnId="4"/>
      <queryTableField id="5" name="Card_ID" tableColumnId="5"/>
      <queryTableField id="6" name="Sales" tableColumnId="6"/>
      <queryTableField id="7" name="Coffee_name" tableColumnId="7"/>
      <queryTableField id="8" name="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3B2926-2B4B-4508-B769-1CDFAB996B4B}" name="Coffee_dataset" displayName="Coffee_dataset" ref="A1:H977" tableType="queryTable" totalsRowShown="0">
  <autoFilter ref="A1:H977" xr:uid="{383B2926-2B4B-4508-B769-1CDFAB996B4B}"/>
  <tableColumns count="8">
    <tableColumn id="1" xr3:uid="{6007ED48-23F3-48AD-A4D1-083352064B93}" uniqueName="1" name="Sales_ID" queryTableFieldId="1" dataDxfId="10"/>
    <tableColumn id="2" xr3:uid="{A9EADAF2-3FC5-4432-9BD9-C48BF04C3E41}" uniqueName="2" name="Time" queryTableFieldId="2" dataDxfId="9"/>
    <tableColumn id="3" xr3:uid="{1691477B-5828-4195-AFBD-A7264469BD15}" uniqueName="3" name="Time_period" queryTableFieldId="3" dataDxfId="8"/>
    <tableColumn id="4" xr3:uid="{47C0429F-F57E-460D-B083-0840C7B1C787}" uniqueName="4" name="Payment_method" queryTableFieldId="4" dataDxfId="7"/>
    <tableColumn id="5" xr3:uid="{86EAF1E5-F3C4-49C5-9428-1EC4D145BE9F}" uniqueName="5" name="Card_ID" queryTableFieldId="5" dataDxfId="6"/>
    <tableColumn id="6" xr3:uid="{2760DBB5-5BA8-4D43-86F4-83B10F99BF59}" uniqueName="6" name="Sales" queryTableFieldId="6"/>
    <tableColumn id="7" xr3:uid="{6CA7ED16-6361-4471-938A-BE14FCB7E550}" uniqueName="7" name="Coffee_name" queryTableFieldId="7" dataDxfId="5"/>
    <tableColumn id="8" xr3:uid="{23E2C50D-E4A1-46AD-B257-ADF129AA9A47}" uniqueName="8" name="Date" queryTableFieldId="8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76DC6-9B3B-4789-9F28-E07868EB3F40}" name="Table5" displayName="Table5" ref="A1:E279" totalsRowShown="0">
  <autoFilter ref="A1:E279" xr:uid="{FA276DC6-9B3B-4789-9F28-E07868EB3F40}"/>
  <tableColumns count="5">
    <tableColumn id="1" xr3:uid="{F615DDCE-5024-45E4-A14C-838BA17503CE}" name="Date" dataDxfId="3"/>
    <tableColumn id="2" xr3:uid="{88ABA044-0F42-4CF8-B367-D489071258C0}" name="Sales"/>
    <tableColumn id="3" xr3:uid="{DC5B9F31-CADD-479E-B3AF-DD5085F83C5F}" name="Forecast(Sales)" dataDxfId="2">
      <calculatedColumnFormula>_xlfn.FORECAST.ETS(A2,$B$2:$B$140,$A$2:$A$140,1,1)</calculatedColumnFormula>
    </tableColumn>
    <tableColumn id="4" xr3:uid="{0A40E80E-23ED-44BB-A9BA-8455D8CC629D}" name="Lower Confidence Bound(Sales)" dataDxfId="1">
      <calculatedColumnFormula>C2-_xlfn.FORECAST.ETS.CONFINT(A2,$B$2:$B$140,$A$2:$A$140,0.95,1,1)</calculatedColumnFormula>
    </tableColumn>
    <tableColumn id="5" xr3:uid="{E2D7B758-FC20-4925-9EB6-49DEBD906304}" name="Upper Confidence Bound(Sales)" dataDxfId="0">
      <calculatedColumnFormula>C2+_xlfn.FORECAST.ETS.CONFINT(A2,$B$2:$B$140,$A$2:$A$140,0.95,1,1)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0A7DD-8513-49E7-B655-554C0592E1BA}">
  <dimension ref="A3:AB39"/>
  <sheetViews>
    <sheetView workbookViewId="0">
      <selection activeCell="I28" sqref="I28"/>
    </sheetView>
  </sheetViews>
  <sheetFormatPr defaultRowHeight="15" x14ac:dyDescent="0.25"/>
  <cols>
    <col min="1" max="1" width="19.42578125" bestFit="1" customWidth="1"/>
    <col min="2" max="2" width="10.7109375" bestFit="1" customWidth="1"/>
    <col min="10" max="10" width="9" bestFit="1" customWidth="1"/>
    <col min="11" max="11" width="12.5703125" bestFit="1" customWidth="1"/>
    <col min="18" max="18" width="18.7109375" bestFit="1" customWidth="1"/>
    <col min="19" max="19" width="8.28515625" bestFit="1" customWidth="1"/>
    <col min="27" max="27" width="14" bestFit="1" customWidth="1"/>
    <col min="28" max="28" width="17.28515625" bestFit="1" customWidth="1"/>
  </cols>
  <sheetData>
    <row r="3" spans="1:28" x14ac:dyDescent="0.25">
      <c r="A3" s="3" t="s">
        <v>1387</v>
      </c>
      <c r="B3" t="s">
        <v>1386</v>
      </c>
      <c r="J3" s="3" t="s">
        <v>1388</v>
      </c>
      <c r="K3" t="s">
        <v>1385</v>
      </c>
      <c r="R3" s="3" t="s">
        <v>1390</v>
      </c>
      <c r="S3" t="s">
        <v>1391</v>
      </c>
      <c r="AA3" s="3" t="s">
        <v>1392</v>
      </c>
      <c r="AB3" t="s">
        <v>1389</v>
      </c>
    </row>
    <row r="4" spans="1:28" x14ac:dyDescent="0.25">
      <c r="A4" s="4" t="s">
        <v>12</v>
      </c>
      <c r="B4">
        <v>7696.3400000000092</v>
      </c>
      <c r="J4" s="4" t="s">
        <v>1380</v>
      </c>
      <c r="K4">
        <v>7050.1999999999871</v>
      </c>
      <c r="R4" s="4" t="s">
        <v>10</v>
      </c>
      <c r="S4">
        <v>887</v>
      </c>
      <c r="AA4" s="4" t="s">
        <v>14</v>
      </c>
      <c r="AB4">
        <v>704</v>
      </c>
    </row>
    <row r="5" spans="1:28" x14ac:dyDescent="0.25">
      <c r="A5" s="4" t="s">
        <v>25</v>
      </c>
      <c r="B5">
        <v>7457.219999999983</v>
      </c>
      <c r="J5" s="4" t="s">
        <v>1381</v>
      </c>
      <c r="K5">
        <v>6720.5600000000013</v>
      </c>
      <c r="R5" s="4" t="s">
        <v>39</v>
      </c>
      <c r="S5">
        <v>89</v>
      </c>
      <c r="AA5" s="4" t="s">
        <v>9</v>
      </c>
      <c r="AB5">
        <v>272</v>
      </c>
    </row>
    <row r="6" spans="1:28" x14ac:dyDescent="0.25">
      <c r="A6" s="4" t="s">
        <v>93</v>
      </c>
      <c r="B6">
        <v>6709.5600000000049</v>
      </c>
      <c r="J6" s="4" t="s">
        <v>1382</v>
      </c>
      <c r="K6">
        <v>9063.4200000000019</v>
      </c>
      <c r="R6" s="4" t="s">
        <v>1379</v>
      </c>
      <c r="S6">
        <v>976</v>
      </c>
      <c r="AA6" s="4" t="s">
        <v>1379</v>
      </c>
      <c r="AB6">
        <v>976</v>
      </c>
    </row>
    <row r="7" spans="1:28" x14ac:dyDescent="0.25">
      <c r="A7" s="4" t="s">
        <v>20</v>
      </c>
      <c r="B7">
        <v>4092.0600000000063</v>
      </c>
      <c r="J7" s="4" t="s">
        <v>1383</v>
      </c>
      <c r="K7">
        <v>7758.7600000000048</v>
      </c>
    </row>
    <row r="8" spans="1:28" x14ac:dyDescent="0.25">
      <c r="A8" s="4" t="s">
        <v>16</v>
      </c>
      <c r="B8">
        <v>2680.0200000000004</v>
      </c>
      <c r="J8" s="4" t="s">
        <v>1384</v>
      </c>
      <c r="K8">
        <v>2473.7000000000016</v>
      </c>
    </row>
    <row r="9" spans="1:28" x14ac:dyDescent="0.25">
      <c r="A9" s="4" t="s">
        <v>54</v>
      </c>
      <c r="B9">
        <v>2445.8200000000029</v>
      </c>
    </row>
    <row r="10" spans="1:28" x14ac:dyDescent="0.25">
      <c r="A10" s="4" t="s">
        <v>32</v>
      </c>
      <c r="B10">
        <v>1066.2000000000003</v>
      </c>
    </row>
    <row r="11" spans="1:28" x14ac:dyDescent="0.25">
      <c r="A11" s="4" t="s">
        <v>72</v>
      </c>
      <c r="B11">
        <v>919.41999999999962</v>
      </c>
    </row>
    <row r="30" spans="1:2" x14ac:dyDescent="0.25">
      <c r="A30" s="3" t="s">
        <v>1378</v>
      </c>
      <c r="B30" t="s">
        <v>1389</v>
      </c>
    </row>
    <row r="31" spans="1:2" x14ac:dyDescent="0.25">
      <c r="A31" s="4" t="s">
        <v>25</v>
      </c>
      <c r="B31">
        <v>227</v>
      </c>
    </row>
    <row r="32" spans="1:2" x14ac:dyDescent="0.25">
      <c r="A32" s="4" t="s">
        <v>12</v>
      </c>
      <c r="B32">
        <v>203</v>
      </c>
    </row>
    <row r="33" spans="1:2" x14ac:dyDescent="0.25">
      <c r="A33" s="4" t="s">
        <v>93</v>
      </c>
      <c r="B33">
        <v>177</v>
      </c>
    </row>
    <row r="34" spans="1:2" x14ac:dyDescent="0.25">
      <c r="A34" s="4" t="s">
        <v>20</v>
      </c>
      <c r="B34">
        <v>145</v>
      </c>
    </row>
    <row r="35" spans="1:2" x14ac:dyDescent="0.25">
      <c r="A35" s="4" t="s">
        <v>54</v>
      </c>
      <c r="B35">
        <v>86</v>
      </c>
    </row>
    <row r="36" spans="1:2" x14ac:dyDescent="0.25">
      <c r="A36" s="4" t="s">
        <v>16</v>
      </c>
      <c r="B36">
        <v>71</v>
      </c>
    </row>
    <row r="37" spans="1:2" x14ac:dyDescent="0.25">
      <c r="A37" s="4" t="s">
        <v>72</v>
      </c>
      <c r="B37">
        <v>39</v>
      </c>
    </row>
    <row r="38" spans="1:2" x14ac:dyDescent="0.25">
      <c r="A38" s="4" t="s">
        <v>32</v>
      </c>
      <c r="B38">
        <v>28</v>
      </c>
    </row>
    <row r="39" spans="1:2" x14ac:dyDescent="0.25">
      <c r="A39" s="4" t="s">
        <v>1379</v>
      </c>
      <c r="B39">
        <v>976</v>
      </c>
    </row>
  </sheetData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F4AC3-DF53-4472-9564-14A03A1CA614}">
  <dimension ref="A1"/>
  <sheetViews>
    <sheetView showGridLines="0" zoomScale="70" zoomScaleNormal="70" workbookViewId="0">
      <selection activeCell="U54" sqref="U5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39F11-2294-490F-A141-C847AA93E4BF}">
  <dimension ref="A1:H977"/>
  <sheetViews>
    <sheetView topLeftCell="A2" workbookViewId="0">
      <selection activeCell="D2" sqref="D2"/>
    </sheetView>
  </sheetViews>
  <sheetFormatPr defaultRowHeight="15" x14ac:dyDescent="0.25"/>
  <cols>
    <col min="1" max="1" width="11" bestFit="1" customWidth="1"/>
    <col min="2" max="2" width="11.28515625" bestFit="1" customWidth="1"/>
    <col min="3" max="3" width="14.42578125" bestFit="1" customWidth="1"/>
    <col min="4" max="4" width="19.140625" bestFit="1" customWidth="1"/>
    <col min="5" max="5" width="10.42578125" bestFit="1" customWidth="1"/>
    <col min="6" max="6" width="8.140625" bestFit="1" customWidth="1"/>
    <col min="7" max="7" width="19.42578125" bestFit="1" customWidth="1"/>
    <col min="8" max="8" width="9.425781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s="1">
        <v>0.42766805555555554</v>
      </c>
      <c r="C2" t="s">
        <v>9</v>
      </c>
      <c r="D2" t="s">
        <v>10</v>
      </c>
      <c r="E2" t="s">
        <v>11</v>
      </c>
      <c r="F2">
        <v>38.700000000000003</v>
      </c>
      <c r="G2" t="s">
        <v>12</v>
      </c>
      <c r="H2" s="2">
        <v>45352</v>
      </c>
    </row>
    <row r="3" spans="1:8" x14ac:dyDescent="0.25">
      <c r="A3" t="s">
        <v>13</v>
      </c>
      <c r="B3" s="1">
        <v>0.51345531249999998</v>
      </c>
      <c r="C3" t="s">
        <v>14</v>
      </c>
      <c r="D3" t="s">
        <v>10</v>
      </c>
      <c r="E3" t="s">
        <v>15</v>
      </c>
      <c r="F3">
        <v>38.700000000000003</v>
      </c>
      <c r="G3" t="s">
        <v>16</v>
      </c>
      <c r="H3" s="2">
        <v>45352</v>
      </c>
    </row>
    <row r="4" spans="1:8" x14ac:dyDescent="0.25">
      <c r="A4" t="s">
        <v>17</v>
      </c>
      <c r="B4" s="1">
        <v>0.51409825231481476</v>
      </c>
      <c r="C4" t="s">
        <v>14</v>
      </c>
      <c r="D4" t="s">
        <v>10</v>
      </c>
      <c r="E4" t="s">
        <v>15</v>
      </c>
      <c r="F4">
        <v>38.700000000000003</v>
      </c>
      <c r="G4" t="s">
        <v>16</v>
      </c>
      <c r="H4" s="2">
        <v>45352</v>
      </c>
    </row>
    <row r="5" spans="1:8" x14ac:dyDescent="0.25">
      <c r="A5" t="s">
        <v>18</v>
      </c>
      <c r="B5" s="1">
        <v>0.57399312499999999</v>
      </c>
      <c r="C5" t="s">
        <v>14</v>
      </c>
      <c r="D5" t="s">
        <v>10</v>
      </c>
      <c r="E5" t="s">
        <v>19</v>
      </c>
      <c r="F5">
        <v>28.9</v>
      </c>
      <c r="G5" t="s">
        <v>20</v>
      </c>
      <c r="H5" s="2">
        <v>45352</v>
      </c>
    </row>
    <row r="6" spans="1:8" x14ac:dyDescent="0.25">
      <c r="A6" t="s">
        <v>21</v>
      </c>
      <c r="B6" s="1">
        <v>0.57516928240740739</v>
      </c>
      <c r="C6" t="s">
        <v>14</v>
      </c>
      <c r="D6" t="s">
        <v>10</v>
      </c>
      <c r="E6" t="s">
        <v>22</v>
      </c>
      <c r="F6">
        <v>38.700000000000003</v>
      </c>
      <c r="G6" t="s">
        <v>12</v>
      </c>
      <c r="H6" s="2">
        <v>45352</v>
      </c>
    </row>
    <row r="7" spans="1:8" x14ac:dyDescent="0.25">
      <c r="A7" t="s">
        <v>23</v>
      </c>
      <c r="B7" s="1">
        <v>0.65263571759259265</v>
      </c>
      <c r="C7" t="s">
        <v>14</v>
      </c>
      <c r="D7" t="s">
        <v>10</v>
      </c>
      <c r="E7" t="s">
        <v>24</v>
      </c>
      <c r="F7">
        <v>33.799999999999997</v>
      </c>
      <c r="G7" t="s">
        <v>25</v>
      </c>
      <c r="H7" s="2">
        <v>45352</v>
      </c>
    </row>
    <row r="8" spans="1:8" x14ac:dyDescent="0.25">
      <c r="A8" t="s">
        <v>26</v>
      </c>
      <c r="B8" s="1">
        <v>0.67989300925925922</v>
      </c>
      <c r="C8" t="s">
        <v>14</v>
      </c>
      <c r="D8" t="s">
        <v>10</v>
      </c>
      <c r="E8" t="s">
        <v>27</v>
      </c>
      <c r="F8">
        <v>38.700000000000003</v>
      </c>
      <c r="G8" t="s">
        <v>16</v>
      </c>
      <c r="H8" s="2">
        <v>45352</v>
      </c>
    </row>
    <row r="9" spans="1:8" x14ac:dyDescent="0.25">
      <c r="A9" t="s">
        <v>28</v>
      </c>
      <c r="B9" s="1">
        <v>0.77712476851851853</v>
      </c>
      <c r="C9" t="s">
        <v>14</v>
      </c>
      <c r="D9" t="s">
        <v>10</v>
      </c>
      <c r="E9" t="s">
        <v>29</v>
      </c>
      <c r="F9">
        <v>33.799999999999997</v>
      </c>
      <c r="G9" t="s">
        <v>25</v>
      </c>
      <c r="H9" s="2">
        <v>45352</v>
      </c>
    </row>
    <row r="10" spans="1:8" x14ac:dyDescent="0.25">
      <c r="A10" t="s">
        <v>30</v>
      </c>
      <c r="B10" s="1">
        <v>0.80696483796296292</v>
      </c>
      <c r="C10" t="s">
        <v>14</v>
      </c>
      <c r="D10" t="s">
        <v>10</v>
      </c>
      <c r="E10" t="s">
        <v>31</v>
      </c>
      <c r="F10">
        <v>38.700000000000003</v>
      </c>
      <c r="G10" t="s">
        <v>32</v>
      </c>
      <c r="H10" s="2">
        <v>45352</v>
      </c>
    </row>
    <row r="11" spans="1:8" x14ac:dyDescent="0.25">
      <c r="A11" t="s">
        <v>33</v>
      </c>
      <c r="B11" s="1">
        <v>0.80782276620370375</v>
      </c>
      <c r="C11" t="s">
        <v>14</v>
      </c>
      <c r="D11" t="s">
        <v>10</v>
      </c>
      <c r="E11" t="s">
        <v>31</v>
      </c>
      <c r="F11">
        <v>33.799999999999997</v>
      </c>
      <c r="G11" t="s">
        <v>25</v>
      </c>
      <c r="H11" s="2">
        <v>45352</v>
      </c>
    </row>
    <row r="12" spans="1:8" x14ac:dyDescent="0.25">
      <c r="A12" t="s">
        <v>34</v>
      </c>
      <c r="B12" s="1">
        <v>0.81200684027777781</v>
      </c>
      <c r="C12" t="s">
        <v>14</v>
      </c>
      <c r="D12" t="s">
        <v>10</v>
      </c>
      <c r="E12" t="s">
        <v>35</v>
      </c>
      <c r="F12">
        <v>33.799999999999997</v>
      </c>
      <c r="G12" t="s">
        <v>25</v>
      </c>
      <c r="H12" s="2">
        <v>45352</v>
      </c>
    </row>
    <row r="13" spans="1:8" x14ac:dyDescent="0.25">
      <c r="A13" t="s">
        <v>36</v>
      </c>
      <c r="B13" s="1">
        <v>0.43202496527777778</v>
      </c>
      <c r="C13" t="s">
        <v>9</v>
      </c>
      <c r="D13" t="s">
        <v>10</v>
      </c>
      <c r="E13" t="s">
        <v>37</v>
      </c>
      <c r="F13">
        <v>28.9</v>
      </c>
      <c r="G13" t="s">
        <v>20</v>
      </c>
      <c r="H13" s="2">
        <v>45353</v>
      </c>
    </row>
    <row r="14" spans="1:8" x14ac:dyDescent="0.25">
      <c r="A14" t="s">
        <v>38</v>
      </c>
      <c r="B14" s="1">
        <v>0.43791282407407406</v>
      </c>
      <c r="C14" t="s">
        <v>9</v>
      </c>
      <c r="D14" t="s">
        <v>39</v>
      </c>
      <c r="E14" t="s">
        <v>39</v>
      </c>
      <c r="F14">
        <v>40</v>
      </c>
      <c r="G14" t="s">
        <v>12</v>
      </c>
      <c r="H14" s="2">
        <v>45353</v>
      </c>
    </row>
    <row r="15" spans="1:8" x14ac:dyDescent="0.25">
      <c r="A15" t="s">
        <v>40</v>
      </c>
      <c r="B15" s="1">
        <v>0.44561630787037038</v>
      </c>
      <c r="C15" t="s">
        <v>9</v>
      </c>
      <c r="D15" t="s">
        <v>10</v>
      </c>
      <c r="E15" t="s">
        <v>41</v>
      </c>
      <c r="F15">
        <v>33.799999999999997</v>
      </c>
      <c r="G15" t="s">
        <v>25</v>
      </c>
      <c r="H15" s="2">
        <v>45353</v>
      </c>
    </row>
    <row r="16" spans="1:8" x14ac:dyDescent="0.25">
      <c r="A16" t="s">
        <v>42</v>
      </c>
      <c r="B16" s="1">
        <v>0.49983199074074075</v>
      </c>
      <c r="C16" t="s">
        <v>9</v>
      </c>
      <c r="D16" t="s">
        <v>10</v>
      </c>
      <c r="E16" t="s">
        <v>43</v>
      </c>
      <c r="F16">
        <v>33.799999999999997</v>
      </c>
      <c r="G16" t="s">
        <v>25</v>
      </c>
      <c r="H16" s="2">
        <v>45353</v>
      </c>
    </row>
    <row r="17" spans="1:8" x14ac:dyDescent="0.25">
      <c r="A17" t="s">
        <v>44</v>
      </c>
      <c r="B17" s="1">
        <v>0.61013350694444446</v>
      </c>
      <c r="C17" t="s">
        <v>14</v>
      </c>
      <c r="D17" t="s">
        <v>10</v>
      </c>
      <c r="E17" t="s">
        <v>45</v>
      </c>
      <c r="F17">
        <v>28.9</v>
      </c>
      <c r="G17" t="s">
        <v>20</v>
      </c>
      <c r="H17" s="2">
        <v>45353</v>
      </c>
    </row>
    <row r="18" spans="1:8" x14ac:dyDescent="0.25">
      <c r="A18" t="s">
        <v>46</v>
      </c>
      <c r="B18" s="1">
        <v>0.69264438657407412</v>
      </c>
      <c r="C18" t="s">
        <v>14</v>
      </c>
      <c r="D18" t="s">
        <v>10</v>
      </c>
      <c r="E18" t="s">
        <v>47</v>
      </c>
      <c r="F18">
        <v>33.799999999999997</v>
      </c>
      <c r="G18" t="s">
        <v>25</v>
      </c>
      <c r="H18" s="2">
        <v>45353</v>
      </c>
    </row>
    <row r="19" spans="1:8" x14ac:dyDescent="0.25">
      <c r="A19" t="s">
        <v>48</v>
      </c>
      <c r="B19" s="1">
        <v>0.73258065972222219</v>
      </c>
      <c r="C19" t="s">
        <v>14</v>
      </c>
      <c r="D19" t="s">
        <v>10</v>
      </c>
      <c r="E19" t="s">
        <v>22</v>
      </c>
      <c r="F19">
        <v>28.9</v>
      </c>
      <c r="G19" t="s">
        <v>20</v>
      </c>
      <c r="H19" s="2">
        <v>45353</v>
      </c>
    </row>
    <row r="20" spans="1:8" x14ac:dyDescent="0.25">
      <c r="A20" t="s">
        <v>49</v>
      </c>
      <c r="B20" s="1">
        <v>0.42412015046296297</v>
      </c>
      <c r="C20" t="s">
        <v>9</v>
      </c>
      <c r="D20" t="s">
        <v>39</v>
      </c>
      <c r="E20" t="s">
        <v>39</v>
      </c>
      <c r="F20">
        <v>40</v>
      </c>
      <c r="G20" t="s">
        <v>12</v>
      </c>
      <c r="H20" s="2">
        <v>45354</v>
      </c>
    </row>
    <row r="21" spans="1:8" x14ac:dyDescent="0.25">
      <c r="A21" t="s">
        <v>50</v>
      </c>
      <c r="B21" s="1">
        <v>0.43563149305555554</v>
      </c>
      <c r="C21" t="s">
        <v>9</v>
      </c>
      <c r="D21" t="s">
        <v>10</v>
      </c>
      <c r="E21" t="s">
        <v>51</v>
      </c>
      <c r="F21">
        <v>38.700000000000003</v>
      </c>
      <c r="G21" t="s">
        <v>12</v>
      </c>
      <c r="H21" s="2">
        <v>45354</v>
      </c>
    </row>
    <row r="22" spans="1:8" x14ac:dyDescent="0.25">
      <c r="A22" t="s">
        <v>52</v>
      </c>
      <c r="B22" s="1">
        <v>0.48189951388888891</v>
      </c>
      <c r="C22" t="s">
        <v>9</v>
      </c>
      <c r="D22" t="s">
        <v>10</v>
      </c>
      <c r="E22" t="s">
        <v>53</v>
      </c>
      <c r="F22">
        <v>28.9</v>
      </c>
      <c r="G22" t="s">
        <v>54</v>
      </c>
      <c r="H22" s="2">
        <v>45354</v>
      </c>
    </row>
    <row r="23" spans="1:8" x14ac:dyDescent="0.25">
      <c r="A23" t="s">
        <v>55</v>
      </c>
      <c r="B23" s="1">
        <v>0.51870483796296296</v>
      </c>
      <c r="C23" t="s">
        <v>14</v>
      </c>
      <c r="D23" t="s">
        <v>10</v>
      </c>
      <c r="E23" t="s">
        <v>43</v>
      </c>
      <c r="F23">
        <v>28.9</v>
      </c>
      <c r="G23" t="s">
        <v>20</v>
      </c>
      <c r="H23" s="2">
        <v>45354</v>
      </c>
    </row>
    <row r="24" spans="1:8" x14ac:dyDescent="0.25">
      <c r="A24" t="s">
        <v>56</v>
      </c>
      <c r="B24" s="1">
        <v>0.5483370486111111</v>
      </c>
      <c r="C24" t="s">
        <v>14</v>
      </c>
      <c r="D24" t="s">
        <v>10</v>
      </c>
      <c r="E24" t="s">
        <v>57</v>
      </c>
      <c r="F24">
        <v>38.700000000000003</v>
      </c>
      <c r="G24" t="s">
        <v>16</v>
      </c>
      <c r="H24" s="2">
        <v>45354</v>
      </c>
    </row>
    <row r="25" spans="1:8" x14ac:dyDescent="0.25">
      <c r="A25" t="s">
        <v>58</v>
      </c>
      <c r="B25" s="1">
        <v>0.71296609953703705</v>
      </c>
      <c r="C25" t="s">
        <v>14</v>
      </c>
      <c r="D25" t="s">
        <v>10</v>
      </c>
      <c r="E25" t="s">
        <v>59</v>
      </c>
      <c r="F25">
        <v>38.700000000000003</v>
      </c>
      <c r="G25" t="s">
        <v>32</v>
      </c>
      <c r="H25" s="2">
        <v>45354</v>
      </c>
    </row>
    <row r="26" spans="1:8" x14ac:dyDescent="0.25">
      <c r="A26" t="s">
        <v>60</v>
      </c>
      <c r="B26" s="1">
        <v>0.7144200810185185</v>
      </c>
      <c r="C26" t="s">
        <v>14</v>
      </c>
      <c r="D26" t="s">
        <v>10</v>
      </c>
      <c r="E26" t="s">
        <v>61</v>
      </c>
      <c r="F26">
        <v>28.9</v>
      </c>
      <c r="G26" t="s">
        <v>54</v>
      </c>
      <c r="H26" s="2">
        <v>45354</v>
      </c>
    </row>
    <row r="27" spans="1:8" x14ac:dyDescent="0.25">
      <c r="A27" t="s">
        <v>62</v>
      </c>
      <c r="B27" s="1">
        <v>0.75235380787037032</v>
      </c>
      <c r="C27" t="s">
        <v>14</v>
      </c>
      <c r="D27" t="s">
        <v>10</v>
      </c>
      <c r="E27" t="s">
        <v>63</v>
      </c>
      <c r="F27">
        <v>33.799999999999997</v>
      </c>
      <c r="G27" t="s">
        <v>25</v>
      </c>
      <c r="H27" s="2">
        <v>45354</v>
      </c>
    </row>
    <row r="28" spans="1:8" x14ac:dyDescent="0.25">
      <c r="A28" t="s">
        <v>64</v>
      </c>
      <c r="B28" s="1">
        <v>0.75310122685185188</v>
      </c>
      <c r="C28" t="s">
        <v>14</v>
      </c>
      <c r="D28" t="s">
        <v>10</v>
      </c>
      <c r="E28" t="s">
        <v>63</v>
      </c>
      <c r="F28">
        <v>33.799999999999997</v>
      </c>
      <c r="G28" t="s">
        <v>25</v>
      </c>
      <c r="H28" s="2">
        <v>45354</v>
      </c>
    </row>
    <row r="29" spans="1:8" x14ac:dyDescent="0.25">
      <c r="A29" t="s">
        <v>65</v>
      </c>
      <c r="B29" s="1">
        <v>0.75561295138888884</v>
      </c>
      <c r="C29" t="s">
        <v>14</v>
      </c>
      <c r="D29" t="s">
        <v>10</v>
      </c>
      <c r="E29" t="s">
        <v>63</v>
      </c>
      <c r="F29">
        <v>38.700000000000003</v>
      </c>
      <c r="G29" t="s">
        <v>16</v>
      </c>
      <c r="H29" s="2">
        <v>45354</v>
      </c>
    </row>
    <row r="30" spans="1:8" x14ac:dyDescent="0.25">
      <c r="A30" t="s">
        <v>66</v>
      </c>
      <c r="B30" s="1">
        <v>0.41935178240740739</v>
      </c>
      <c r="C30" t="s">
        <v>9</v>
      </c>
      <c r="D30" t="s">
        <v>10</v>
      </c>
      <c r="E30" t="s">
        <v>11</v>
      </c>
      <c r="F30">
        <v>38.700000000000003</v>
      </c>
      <c r="G30" t="s">
        <v>12</v>
      </c>
      <c r="H30" s="2">
        <v>45355</v>
      </c>
    </row>
    <row r="31" spans="1:8" x14ac:dyDescent="0.25">
      <c r="A31" t="s">
        <v>67</v>
      </c>
      <c r="B31" s="1">
        <v>0.45475645833333334</v>
      </c>
      <c r="C31" t="s">
        <v>9</v>
      </c>
      <c r="D31" t="s">
        <v>10</v>
      </c>
      <c r="E31" t="s">
        <v>68</v>
      </c>
      <c r="F31">
        <v>38.700000000000003</v>
      </c>
      <c r="G31" t="s">
        <v>12</v>
      </c>
      <c r="H31" s="2">
        <v>45355</v>
      </c>
    </row>
    <row r="32" spans="1:8" x14ac:dyDescent="0.25">
      <c r="A32" t="s">
        <v>69</v>
      </c>
      <c r="B32" s="1">
        <v>0.46199287037037035</v>
      </c>
      <c r="C32" t="s">
        <v>9</v>
      </c>
      <c r="D32" t="s">
        <v>10</v>
      </c>
      <c r="E32" t="s">
        <v>43</v>
      </c>
      <c r="F32">
        <v>33.799999999999997</v>
      </c>
      <c r="G32" t="s">
        <v>25</v>
      </c>
      <c r="H32" s="2">
        <v>45355</v>
      </c>
    </row>
    <row r="33" spans="1:8" x14ac:dyDescent="0.25">
      <c r="A33" t="s">
        <v>70</v>
      </c>
      <c r="B33" s="1">
        <v>0.5865478472222222</v>
      </c>
      <c r="C33" t="s">
        <v>14</v>
      </c>
      <c r="D33" t="s">
        <v>10</v>
      </c>
      <c r="E33" t="s">
        <v>71</v>
      </c>
      <c r="F33">
        <v>24</v>
      </c>
      <c r="G33" t="s">
        <v>72</v>
      </c>
      <c r="H33" s="2">
        <v>45355</v>
      </c>
    </row>
    <row r="34" spans="1:8" x14ac:dyDescent="0.25">
      <c r="A34" t="s">
        <v>73</v>
      </c>
      <c r="B34" s="1">
        <v>0.4165816087962963</v>
      </c>
      <c r="C34" t="s">
        <v>9</v>
      </c>
      <c r="D34" t="s">
        <v>10</v>
      </c>
      <c r="E34" t="s">
        <v>11</v>
      </c>
      <c r="F34">
        <v>38.700000000000003</v>
      </c>
      <c r="G34" t="s">
        <v>12</v>
      </c>
      <c r="H34" s="2">
        <v>45356</v>
      </c>
    </row>
    <row r="35" spans="1:8" x14ac:dyDescent="0.25">
      <c r="A35" t="s">
        <v>74</v>
      </c>
      <c r="B35" s="1">
        <v>0.60759216435185182</v>
      </c>
      <c r="C35" t="s">
        <v>14</v>
      </c>
      <c r="D35" t="s">
        <v>10</v>
      </c>
      <c r="E35" t="s">
        <v>75</v>
      </c>
      <c r="F35">
        <v>38.700000000000003</v>
      </c>
      <c r="G35" t="s">
        <v>12</v>
      </c>
      <c r="H35" s="2">
        <v>45356</v>
      </c>
    </row>
    <row r="36" spans="1:8" x14ac:dyDescent="0.25">
      <c r="A36" t="s">
        <v>76</v>
      </c>
      <c r="B36" s="1">
        <v>0.73201438657407403</v>
      </c>
      <c r="C36" t="s">
        <v>14</v>
      </c>
      <c r="D36" t="s">
        <v>10</v>
      </c>
      <c r="E36" t="s">
        <v>77</v>
      </c>
      <c r="F36">
        <v>38.700000000000003</v>
      </c>
      <c r="G36" t="s">
        <v>12</v>
      </c>
      <c r="H36" s="2">
        <v>45356</v>
      </c>
    </row>
    <row r="37" spans="1:8" x14ac:dyDescent="0.25">
      <c r="A37" t="s">
        <v>78</v>
      </c>
      <c r="B37" s="1">
        <v>0.73292848379629627</v>
      </c>
      <c r="C37" t="s">
        <v>14</v>
      </c>
      <c r="D37" t="s">
        <v>10</v>
      </c>
      <c r="E37" t="s">
        <v>79</v>
      </c>
      <c r="F37">
        <v>38.700000000000003</v>
      </c>
      <c r="G37" t="s">
        <v>16</v>
      </c>
      <c r="H37" s="2">
        <v>45356</v>
      </c>
    </row>
    <row r="38" spans="1:8" x14ac:dyDescent="0.25">
      <c r="A38" t="s">
        <v>80</v>
      </c>
      <c r="B38" s="1">
        <v>0.73366401620370369</v>
      </c>
      <c r="C38" t="s">
        <v>14</v>
      </c>
      <c r="D38" t="s">
        <v>10</v>
      </c>
      <c r="E38" t="s">
        <v>81</v>
      </c>
      <c r="F38">
        <v>38.700000000000003</v>
      </c>
      <c r="G38" t="s">
        <v>32</v>
      </c>
      <c r="H38" s="2">
        <v>45356</v>
      </c>
    </row>
    <row r="39" spans="1:8" x14ac:dyDescent="0.25">
      <c r="A39" t="s">
        <v>82</v>
      </c>
      <c r="B39" s="1">
        <v>0.73418586805555552</v>
      </c>
      <c r="C39" t="s">
        <v>14</v>
      </c>
      <c r="D39" t="s">
        <v>10</v>
      </c>
      <c r="E39" t="s">
        <v>83</v>
      </c>
      <c r="F39">
        <v>38.700000000000003</v>
      </c>
      <c r="G39" t="s">
        <v>16</v>
      </c>
      <c r="H39" s="2">
        <v>45356</v>
      </c>
    </row>
    <row r="40" spans="1:8" x14ac:dyDescent="0.25">
      <c r="A40" t="s">
        <v>84</v>
      </c>
      <c r="B40" s="1">
        <v>0.73483048611111113</v>
      </c>
      <c r="C40" t="s">
        <v>14</v>
      </c>
      <c r="D40" t="s">
        <v>10</v>
      </c>
      <c r="E40" t="s">
        <v>35</v>
      </c>
      <c r="F40">
        <v>38.700000000000003</v>
      </c>
      <c r="G40" t="s">
        <v>16</v>
      </c>
      <c r="H40" s="2">
        <v>45356</v>
      </c>
    </row>
    <row r="41" spans="1:8" x14ac:dyDescent="0.25">
      <c r="A41" t="s">
        <v>85</v>
      </c>
      <c r="B41" s="1">
        <v>0.7474048148148148</v>
      </c>
      <c r="C41" t="s">
        <v>14</v>
      </c>
      <c r="D41" t="s">
        <v>10</v>
      </c>
      <c r="E41" t="s">
        <v>86</v>
      </c>
      <c r="F41">
        <v>28.9</v>
      </c>
      <c r="G41" t="s">
        <v>54</v>
      </c>
      <c r="H41" s="2">
        <v>45356</v>
      </c>
    </row>
    <row r="42" spans="1:8" x14ac:dyDescent="0.25">
      <c r="A42" t="s">
        <v>87</v>
      </c>
      <c r="B42" s="1">
        <v>0.75105604166666662</v>
      </c>
      <c r="C42" t="s">
        <v>14</v>
      </c>
      <c r="D42" t="s">
        <v>10</v>
      </c>
      <c r="E42" t="s">
        <v>86</v>
      </c>
      <c r="F42">
        <v>38.700000000000003</v>
      </c>
      <c r="G42" t="s">
        <v>16</v>
      </c>
      <c r="H42" s="2">
        <v>45356</v>
      </c>
    </row>
    <row r="43" spans="1:8" x14ac:dyDescent="0.25">
      <c r="A43" t="s">
        <v>88</v>
      </c>
      <c r="B43" s="1">
        <v>0.52114686342592598</v>
      </c>
      <c r="C43" t="s">
        <v>14</v>
      </c>
      <c r="D43" t="s">
        <v>39</v>
      </c>
      <c r="E43" t="s">
        <v>39</v>
      </c>
      <c r="F43">
        <v>35</v>
      </c>
      <c r="G43" t="s">
        <v>25</v>
      </c>
      <c r="H43" s="2">
        <v>45357</v>
      </c>
    </row>
    <row r="44" spans="1:8" x14ac:dyDescent="0.25">
      <c r="A44" t="s">
        <v>89</v>
      </c>
      <c r="B44" s="1">
        <v>0.55842207175925929</v>
      </c>
      <c r="C44" t="s">
        <v>14</v>
      </c>
      <c r="D44" t="s">
        <v>10</v>
      </c>
      <c r="E44" t="s">
        <v>43</v>
      </c>
      <c r="F44">
        <v>28.9</v>
      </c>
      <c r="G44" t="s">
        <v>20</v>
      </c>
      <c r="H44" s="2">
        <v>45357</v>
      </c>
    </row>
    <row r="45" spans="1:8" x14ac:dyDescent="0.25">
      <c r="A45" t="s">
        <v>90</v>
      </c>
      <c r="B45" s="1">
        <v>0.55919387731481485</v>
      </c>
      <c r="C45" t="s">
        <v>14</v>
      </c>
      <c r="D45" t="s">
        <v>10</v>
      </c>
      <c r="E45" t="s">
        <v>43</v>
      </c>
      <c r="F45">
        <v>28.9</v>
      </c>
      <c r="G45" t="s">
        <v>54</v>
      </c>
      <c r="H45" s="2">
        <v>45357</v>
      </c>
    </row>
    <row r="46" spans="1:8" x14ac:dyDescent="0.25">
      <c r="A46" t="s">
        <v>91</v>
      </c>
      <c r="B46" s="1">
        <v>0.61946482638888889</v>
      </c>
      <c r="C46" t="s">
        <v>14</v>
      </c>
      <c r="D46" t="s">
        <v>10</v>
      </c>
      <c r="E46" t="s">
        <v>92</v>
      </c>
      <c r="F46">
        <v>38.700000000000003</v>
      </c>
      <c r="G46" t="s">
        <v>93</v>
      </c>
      <c r="H46" s="2">
        <v>45357</v>
      </c>
    </row>
    <row r="47" spans="1:8" x14ac:dyDescent="0.25">
      <c r="A47" t="s">
        <v>94</v>
      </c>
      <c r="B47" s="1">
        <v>0.62035120370370367</v>
      </c>
      <c r="C47" t="s">
        <v>14</v>
      </c>
      <c r="D47" t="s">
        <v>10</v>
      </c>
      <c r="E47" t="s">
        <v>92</v>
      </c>
      <c r="F47">
        <v>38.700000000000003</v>
      </c>
      <c r="G47" t="s">
        <v>93</v>
      </c>
      <c r="H47" s="2">
        <v>45357</v>
      </c>
    </row>
    <row r="48" spans="1:8" x14ac:dyDescent="0.25">
      <c r="A48" t="s">
        <v>95</v>
      </c>
      <c r="B48" s="1">
        <v>0.4229044560185185</v>
      </c>
      <c r="C48" t="s">
        <v>9</v>
      </c>
      <c r="D48" t="s">
        <v>39</v>
      </c>
      <c r="E48" t="s">
        <v>39</v>
      </c>
      <c r="F48">
        <v>40</v>
      </c>
      <c r="G48" t="s">
        <v>12</v>
      </c>
      <c r="H48" s="2">
        <v>45358</v>
      </c>
    </row>
    <row r="49" spans="1:8" x14ac:dyDescent="0.25">
      <c r="A49" t="s">
        <v>96</v>
      </c>
      <c r="B49" s="1">
        <v>0.42963591435185183</v>
      </c>
      <c r="C49" t="s">
        <v>9</v>
      </c>
      <c r="D49" t="s">
        <v>10</v>
      </c>
      <c r="E49" t="s">
        <v>97</v>
      </c>
      <c r="F49">
        <v>38.700000000000003</v>
      </c>
      <c r="G49" t="s">
        <v>16</v>
      </c>
      <c r="H49" s="2">
        <v>45358</v>
      </c>
    </row>
    <row r="50" spans="1:8" x14ac:dyDescent="0.25">
      <c r="A50" t="s">
        <v>98</v>
      </c>
      <c r="B50" s="1">
        <v>0.46109925925925926</v>
      </c>
      <c r="C50" t="s">
        <v>9</v>
      </c>
      <c r="D50" t="s">
        <v>10</v>
      </c>
      <c r="E50" t="s">
        <v>99</v>
      </c>
      <c r="F50">
        <v>38.700000000000003</v>
      </c>
      <c r="G50" t="s">
        <v>12</v>
      </c>
      <c r="H50" s="2">
        <v>45358</v>
      </c>
    </row>
    <row r="51" spans="1:8" x14ac:dyDescent="0.25">
      <c r="A51" t="s">
        <v>100</v>
      </c>
      <c r="B51" s="1">
        <v>0.47620343749999999</v>
      </c>
      <c r="C51" t="s">
        <v>9</v>
      </c>
      <c r="D51" t="s">
        <v>39</v>
      </c>
      <c r="E51" t="s">
        <v>39</v>
      </c>
      <c r="F51">
        <v>40</v>
      </c>
      <c r="G51" t="s">
        <v>12</v>
      </c>
      <c r="H51" s="2">
        <v>45358</v>
      </c>
    </row>
    <row r="52" spans="1:8" x14ac:dyDescent="0.25">
      <c r="A52" t="s">
        <v>101</v>
      </c>
      <c r="B52" s="1">
        <v>0.65303942129629633</v>
      </c>
      <c r="C52" t="s">
        <v>14</v>
      </c>
      <c r="D52" t="s">
        <v>10</v>
      </c>
      <c r="E52" t="s">
        <v>102</v>
      </c>
      <c r="F52">
        <v>28.9</v>
      </c>
      <c r="G52" t="s">
        <v>20</v>
      </c>
      <c r="H52" s="2">
        <v>45358</v>
      </c>
    </row>
    <row r="53" spans="1:8" x14ac:dyDescent="0.25">
      <c r="A53" t="s">
        <v>103</v>
      </c>
      <c r="B53" s="1">
        <v>0.65380537037037034</v>
      </c>
      <c r="C53" t="s">
        <v>14</v>
      </c>
      <c r="D53" t="s">
        <v>10</v>
      </c>
      <c r="E53" t="s">
        <v>104</v>
      </c>
      <c r="F53">
        <v>33.799999999999997</v>
      </c>
      <c r="G53" t="s">
        <v>25</v>
      </c>
      <c r="H53" s="2">
        <v>45358</v>
      </c>
    </row>
    <row r="54" spans="1:8" x14ac:dyDescent="0.25">
      <c r="A54" t="s">
        <v>105</v>
      </c>
      <c r="B54" s="1">
        <v>0.44075559027777778</v>
      </c>
      <c r="C54" t="s">
        <v>9</v>
      </c>
      <c r="D54" t="s">
        <v>10</v>
      </c>
      <c r="E54" t="s">
        <v>43</v>
      </c>
      <c r="F54">
        <v>28.9</v>
      </c>
      <c r="G54" t="s">
        <v>54</v>
      </c>
      <c r="H54" s="2">
        <v>45359</v>
      </c>
    </row>
    <row r="55" spans="1:8" x14ac:dyDescent="0.25">
      <c r="A55" t="s">
        <v>106</v>
      </c>
      <c r="B55" s="1">
        <v>0.51560940972222224</v>
      </c>
      <c r="C55" t="s">
        <v>14</v>
      </c>
      <c r="D55" t="s">
        <v>10</v>
      </c>
      <c r="E55" t="s">
        <v>107</v>
      </c>
      <c r="F55">
        <v>38.700000000000003</v>
      </c>
      <c r="G55" t="s">
        <v>93</v>
      </c>
      <c r="H55" s="2">
        <v>45359</v>
      </c>
    </row>
    <row r="56" spans="1:8" x14ac:dyDescent="0.25">
      <c r="A56" t="s">
        <v>108</v>
      </c>
      <c r="B56" s="1">
        <v>0.5784958564814815</v>
      </c>
      <c r="C56" t="s">
        <v>14</v>
      </c>
      <c r="D56" t="s">
        <v>10</v>
      </c>
      <c r="E56" t="s">
        <v>109</v>
      </c>
      <c r="F56">
        <v>28.9</v>
      </c>
      <c r="G56" t="s">
        <v>20</v>
      </c>
      <c r="H56" s="2">
        <v>45359</v>
      </c>
    </row>
    <row r="57" spans="1:8" x14ac:dyDescent="0.25">
      <c r="A57" t="s">
        <v>110</v>
      </c>
      <c r="B57" s="1">
        <v>0.61403571759259257</v>
      </c>
      <c r="C57" t="s">
        <v>14</v>
      </c>
      <c r="D57" t="s">
        <v>10</v>
      </c>
      <c r="E57" t="s">
        <v>43</v>
      </c>
      <c r="F57">
        <v>28.9</v>
      </c>
      <c r="G57" t="s">
        <v>20</v>
      </c>
      <c r="H57" s="2">
        <v>45359</v>
      </c>
    </row>
    <row r="58" spans="1:8" x14ac:dyDescent="0.25">
      <c r="A58" t="s">
        <v>111</v>
      </c>
      <c r="B58" s="1">
        <v>0.61471120370370369</v>
      </c>
      <c r="C58" t="s">
        <v>14</v>
      </c>
      <c r="D58" t="s">
        <v>10</v>
      </c>
      <c r="E58" t="s">
        <v>104</v>
      </c>
      <c r="F58">
        <v>28.9</v>
      </c>
      <c r="G58" t="s">
        <v>20</v>
      </c>
      <c r="H58" s="2">
        <v>45359</v>
      </c>
    </row>
    <row r="59" spans="1:8" x14ac:dyDescent="0.25">
      <c r="A59" t="s">
        <v>112</v>
      </c>
      <c r="B59" s="1">
        <v>0.61540688657407405</v>
      </c>
      <c r="C59" t="s">
        <v>14</v>
      </c>
      <c r="D59" t="s">
        <v>10</v>
      </c>
      <c r="E59" t="s">
        <v>43</v>
      </c>
      <c r="F59">
        <v>33.799999999999997</v>
      </c>
      <c r="G59" t="s">
        <v>25</v>
      </c>
      <c r="H59" s="2">
        <v>45359</v>
      </c>
    </row>
    <row r="60" spans="1:8" x14ac:dyDescent="0.25">
      <c r="A60" t="s">
        <v>113</v>
      </c>
      <c r="B60" s="1">
        <v>0.79017883101851849</v>
      </c>
      <c r="C60" t="s">
        <v>14</v>
      </c>
      <c r="D60" t="s">
        <v>10</v>
      </c>
      <c r="E60" t="s">
        <v>114</v>
      </c>
      <c r="F60">
        <v>38.700000000000003</v>
      </c>
      <c r="G60" t="s">
        <v>12</v>
      </c>
      <c r="H60" s="2">
        <v>45359</v>
      </c>
    </row>
    <row r="61" spans="1:8" x14ac:dyDescent="0.25">
      <c r="A61" t="s">
        <v>115</v>
      </c>
      <c r="B61" s="1">
        <v>0.79126089120370369</v>
      </c>
      <c r="C61" t="s">
        <v>14</v>
      </c>
      <c r="D61" t="s">
        <v>10</v>
      </c>
      <c r="E61" t="s">
        <v>116</v>
      </c>
      <c r="F61">
        <v>38.700000000000003</v>
      </c>
      <c r="G61" t="s">
        <v>12</v>
      </c>
      <c r="H61" s="2">
        <v>45359</v>
      </c>
    </row>
    <row r="62" spans="1:8" x14ac:dyDescent="0.25">
      <c r="A62" t="s">
        <v>117</v>
      </c>
      <c r="B62" s="1">
        <v>0.49279273148148151</v>
      </c>
      <c r="C62" t="s">
        <v>9</v>
      </c>
      <c r="D62" t="s">
        <v>39</v>
      </c>
      <c r="E62" t="s">
        <v>39</v>
      </c>
      <c r="F62">
        <v>40</v>
      </c>
      <c r="G62" t="s">
        <v>16</v>
      </c>
      <c r="H62" s="2">
        <v>45360</v>
      </c>
    </row>
    <row r="63" spans="1:8" x14ac:dyDescent="0.25">
      <c r="A63" t="s">
        <v>118</v>
      </c>
      <c r="B63" s="1">
        <v>0.50365230324074073</v>
      </c>
      <c r="C63" t="s">
        <v>14</v>
      </c>
      <c r="D63" t="s">
        <v>10</v>
      </c>
      <c r="E63" t="s">
        <v>119</v>
      </c>
      <c r="F63">
        <v>24</v>
      </c>
      <c r="G63" t="s">
        <v>72</v>
      </c>
      <c r="H63" s="2">
        <v>45360</v>
      </c>
    </row>
    <row r="64" spans="1:8" x14ac:dyDescent="0.25">
      <c r="A64" t="s">
        <v>120</v>
      </c>
      <c r="B64" s="1">
        <v>0.50530410879629628</v>
      </c>
      <c r="C64" t="s">
        <v>14</v>
      </c>
      <c r="D64" t="s">
        <v>10</v>
      </c>
      <c r="E64" t="s">
        <v>121</v>
      </c>
      <c r="F64">
        <v>28.9</v>
      </c>
      <c r="G64" t="s">
        <v>20</v>
      </c>
      <c r="H64" s="2">
        <v>45360</v>
      </c>
    </row>
    <row r="65" spans="1:8" x14ac:dyDescent="0.25">
      <c r="A65" t="s">
        <v>122</v>
      </c>
      <c r="B65" s="1">
        <v>0.50680224537037033</v>
      </c>
      <c r="C65" t="s">
        <v>14</v>
      </c>
      <c r="D65" t="s">
        <v>10</v>
      </c>
      <c r="E65" t="s">
        <v>43</v>
      </c>
      <c r="F65">
        <v>38.700000000000003</v>
      </c>
      <c r="G65" t="s">
        <v>93</v>
      </c>
      <c r="H65" s="2">
        <v>45360</v>
      </c>
    </row>
    <row r="66" spans="1:8" x14ac:dyDescent="0.25">
      <c r="A66" t="s">
        <v>123</v>
      </c>
      <c r="B66" s="1">
        <v>0.50906853009259256</v>
      </c>
      <c r="C66" t="s">
        <v>14</v>
      </c>
      <c r="D66" t="s">
        <v>10</v>
      </c>
      <c r="E66" t="s">
        <v>124</v>
      </c>
      <c r="F66">
        <v>28.9</v>
      </c>
      <c r="G66" t="s">
        <v>20</v>
      </c>
      <c r="H66" s="2">
        <v>45360</v>
      </c>
    </row>
    <row r="67" spans="1:8" x14ac:dyDescent="0.25">
      <c r="A67" t="s">
        <v>125</v>
      </c>
      <c r="B67" s="1">
        <v>0.51002844907407408</v>
      </c>
      <c r="C67" t="s">
        <v>14</v>
      </c>
      <c r="D67" t="s">
        <v>10</v>
      </c>
      <c r="E67" t="s">
        <v>124</v>
      </c>
      <c r="F67">
        <v>28.9</v>
      </c>
      <c r="G67" t="s">
        <v>20</v>
      </c>
      <c r="H67" s="2">
        <v>45360</v>
      </c>
    </row>
    <row r="68" spans="1:8" x14ac:dyDescent="0.25">
      <c r="A68" t="s">
        <v>126</v>
      </c>
      <c r="B68" s="1">
        <v>0.54817394675925923</v>
      </c>
      <c r="C68" t="s">
        <v>14</v>
      </c>
      <c r="D68" t="s">
        <v>10</v>
      </c>
      <c r="E68" t="s">
        <v>127</v>
      </c>
      <c r="F68">
        <v>38.700000000000003</v>
      </c>
      <c r="G68" t="s">
        <v>12</v>
      </c>
      <c r="H68" s="2">
        <v>45360</v>
      </c>
    </row>
    <row r="69" spans="1:8" x14ac:dyDescent="0.25">
      <c r="A69" t="s">
        <v>128</v>
      </c>
      <c r="B69" s="1">
        <v>0.57021026620370374</v>
      </c>
      <c r="C69" t="s">
        <v>14</v>
      </c>
      <c r="D69" t="s">
        <v>10</v>
      </c>
      <c r="E69" t="s">
        <v>129</v>
      </c>
      <c r="F69">
        <v>33.799999999999997</v>
      </c>
      <c r="G69" t="s">
        <v>25</v>
      </c>
      <c r="H69" s="2">
        <v>45360</v>
      </c>
    </row>
    <row r="70" spans="1:8" x14ac:dyDescent="0.25">
      <c r="A70" t="s">
        <v>130</v>
      </c>
      <c r="B70" s="1">
        <v>0.57859268518518514</v>
      </c>
      <c r="C70" t="s">
        <v>14</v>
      </c>
      <c r="D70" t="s">
        <v>10</v>
      </c>
      <c r="E70" t="s">
        <v>131</v>
      </c>
      <c r="F70">
        <v>28.9</v>
      </c>
      <c r="G70" t="s">
        <v>54</v>
      </c>
      <c r="H70" s="2">
        <v>45360</v>
      </c>
    </row>
    <row r="71" spans="1:8" x14ac:dyDescent="0.25">
      <c r="A71" t="s">
        <v>132</v>
      </c>
      <c r="B71" s="1">
        <v>0.57959291666666668</v>
      </c>
      <c r="C71" t="s">
        <v>14</v>
      </c>
      <c r="D71" t="s">
        <v>10</v>
      </c>
      <c r="E71" t="s">
        <v>131</v>
      </c>
      <c r="F71">
        <v>38.700000000000003</v>
      </c>
      <c r="G71" t="s">
        <v>93</v>
      </c>
      <c r="H71" s="2">
        <v>45360</v>
      </c>
    </row>
    <row r="72" spans="1:8" x14ac:dyDescent="0.25">
      <c r="A72" t="s">
        <v>133</v>
      </c>
      <c r="B72" s="1">
        <v>0.58891005787037032</v>
      </c>
      <c r="C72" t="s">
        <v>14</v>
      </c>
      <c r="D72" t="s">
        <v>10</v>
      </c>
      <c r="E72" t="s">
        <v>35</v>
      </c>
      <c r="F72">
        <v>33.799999999999997</v>
      </c>
      <c r="G72" t="s">
        <v>25</v>
      </c>
      <c r="H72" s="2">
        <v>45360</v>
      </c>
    </row>
    <row r="73" spans="1:8" x14ac:dyDescent="0.25">
      <c r="A73" t="s">
        <v>134</v>
      </c>
      <c r="B73" s="1">
        <v>0.60200084490740746</v>
      </c>
      <c r="C73" t="s">
        <v>14</v>
      </c>
      <c r="D73" t="s">
        <v>10</v>
      </c>
      <c r="E73" t="s">
        <v>135</v>
      </c>
      <c r="F73">
        <v>38.700000000000003</v>
      </c>
      <c r="G73" t="s">
        <v>16</v>
      </c>
      <c r="H73" s="2">
        <v>45360</v>
      </c>
    </row>
    <row r="74" spans="1:8" x14ac:dyDescent="0.25">
      <c r="A74" t="s">
        <v>136</v>
      </c>
      <c r="B74" s="1">
        <v>0.80413856481481483</v>
      </c>
      <c r="C74" t="s">
        <v>14</v>
      </c>
      <c r="D74" t="s">
        <v>10</v>
      </c>
      <c r="E74" t="s">
        <v>35</v>
      </c>
      <c r="F74">
        <v>38.700000000000003</v>
      </c>
      <c r="G74" t="s">
        <v>93</v>
      </c>
      <c r="H74" s="2">
        <v>45360</v>
      </c>
    </row>
    <row r="75" spans="1:8" x14ac:dyDescent="0.25">
      <c r="A75" t="s">
        <v>137</v>
      </c>
      <c r="B75" s="1">
        <v>0.80497782407407403</v>
      </c>
      <c r="C75" t="s">
        <v>14</v>
      </c>
      <c r="D75" t="s">
        <v>10</v>
      </c>
      <c r="E75" t="s">
        <v>35</v>
      </c>
      <c r="F75">
        <v>38.700000000000003</v>
      </c>
      <c r="G75" t="s">
        <v>16</v>
      </c>
      <c r="H75" s="2">
        <v>45360</v>
      </c>
    </row>
    <row r="76" spans="1:8" x14ac:dyDescent="0.25">
      <c r="A76" t="s">
        <v>138</v>
      </c>
      <c r="B76" s="1">
        <v>0.32243678240740742</v>
      </c>
      <c r="C76" t="s">
        <v>9</v>
      </c>
      <c r="D76" t="s">
        <v>39</v>
      </c>
      <c r="E76" t="s">
        <v>39</v>
      </c>
      <c r="F76">
        <v>30</v>
      </c>
      <c r="G76" t="s">
        <v>20</v>
      </c>
      <c r="H76" s="2">
        <v>45361</v>
      </c>
    </row>
    <row r="77" spans="1:8" x14ac:dyDescent="0.25">
      <c r="A77" t="s">
        <v>139</v>
      </c>
      <c r="B77" s="1">
        <v>0.32325741898148147</v>
      </c>
      <c r="C77" t="s">
        <v>9</v>
      </c>
      <c r="D77" t="s">
        <v>39</v>
      </c>
      <c r="E77" t="s">
        <v>39</v>
      </c>
      <c r="F77">
        <v>35</v>
      </c>
      <c r="G77" t="s">
        <v>25</v>
      </c>
      <c r="H77" s="2">
        <v>45361</v>
      </c>
    </row>
    <row r="78" spans="1:8" x14ac:dyDescent="0.25">
      <c r="A78" t="s">
        <v>140</v>
      </c>
      <c r="B78" s="1">
        <v>0.4208675925925926</v>
      </c>
      <c r="C78" t="s">
        <v>9</v>
      </c>
      <c r="D78" t="s">
        <v>39</v>
      </c>
      <c r="E78" t="s">
        <v>39</v>
      </c>
      <c r="F78">
        <v>40</v>
      </c>
      <c r="G78" t="s">
        <v>12</v>
      </c>
      <c r="H78" s="2">
        <v>45361</v>
      </c>
    </row>
    <row r="79" spans="1:8" x14ac:dyDescent="0.25">
      <c r="A79" t="s">
        <v>141</v>
      </c>
      <c r="B79" s="1">
        <v>0.47176810185185186</v>
      </c>
      <c r="C79" t="s">
        <v>9</v>
      </c>
      <c r="D79" t="s">
        <v>10</v>
      </c>
      <c r="E79" t="s">
        <v>142</v>
      </c>
      <c r="F79">
        <v>24</v>
      </c>
      <c r="G79" t="s">
        <v>72</v>
      </c>
      <c r="H79" s="2">
        <v>45361</v>
      </c>
    </row>
    <row r="80" spans="1:8" x14ac:dyDescent="0.25">
      <c r="A80" t="s">
        <v>143</v>
      </c>
      <c r="B80" s="1">
        <v>0.74378527777777781</v>
      </c>
      <c r="C80" t="s">
        <v>14</v>
      </c>
      <c r="D80" t="s">
        <v>39</v>
      </c>
      <c r="E80" t="s">
        <v>39</v>
      </c>
      <c r="F80">
        <v>35</v>
      </c>
      <c r="G80" t="s">
        <v>25</v>
      </c>
      <c r="H80" s="2">
        <v>45361</v>
      </c>
    </row>
    <row r="81" spans="1:8" x14ac:dyDescent="0.25">
      <c r="A81" t="s">
        <v>144</v>
      </c>
      <c r="B81" s="1">
        <v>0.81528331018518518</v>
      </c>
      <c r="C81" t="s">
        <v>14</v>
      </c>
      <c r="D81" t="s">
        <v>10</v>
      </c>
      <c r="E81" t="s">
        <v>145</v>
      </c>
      <c r="F81">
        <v>38.700000000000003</v>
      </c>
      <c r="G81" t="s">
        <v>12</v>
      </c>
      <c r="H81" s="2">
        <v>45361</v>
      </c>
    </row>
    <row r="82" spans="1:8" x14ac:dyDescent="0.25">
      <c r="A82" t="s">
        <v>146</v>
      </c>
      <c r="B82" s="1">
        <v>0.81660546296296299</v>
      </c>
      <c r="C82" t="s">
        <v>14</v>
      </c>
      <c r="D82" t="s">
        <v>10</v>
      </c>
      <c r="E82" t="s">
        <v>145</v>
      </c>
      <c r="F82">
        <v>28.9</v>
      </c>
      <c r="G82" t="s">
        <v>54</v>
      </c>
      <c r="H82" s="2">
        <v>45361</v>
      </c>
    </row>
    <row r="83" spans="1:8" x14ac:dyDescent="0.25">
      <c r="A83" t="s">
        <v>147</v>
      </c>
      <c r="B83" s="1">
        <v>0.42970745370370372</v>
      </c>
      <c r="C83" t="s">
        <v>9</v>
      </c>
      <c r="D83" t="s">
        <v>39</v>
      </c>
      <c r="E83" t="s">
        <v>39</v>
      </c>
      <c r="F83">
        <v>40</v>
      </c>
      <c r="G83" t="s">
        <v>12</v>
      </c>
      <c r="H83" s="2">
        <v>45362</v>
      </c>
    </row>
    <row r="84" spans="1:8" x14ac:dyDescent="0.25">
      <c r="A84" t="s">
        <v>148</v>
      </c>
      <c r="B84" s="1">
        <v>0.47517386574074072</v>
      </c>
      <c r="C84" t="s">
        <v>9</v>
      </c>
      <c r="D84" t="s">
        <v>39</v>
      </c>
      <c r="E84" t="s">
        <v>39</v>
      </c>
      <c r="F84">
        <v>40</v>
      </c>
      <c r="G84" t="s">
        <v>93</v>
      </c>
      <c r="H84" s="2">
        <v>45362</v>
      </c>
    </row>
    <row r="85" spans="1:8" x14ac:dyDescent="0.25">
      <c r="A85" t="s">
        <v>149</v>
      </c>
      <c r="B85" s="1">
        <v>0.47559681712962965</v>
      </c>
      <c r="C85" t="s">
        <v>9</v>
      </c>
      <c r="D85" t="s">
        <v>39</v>
      </c>
      <c r="E85" t="s">
        <v>39</v>
      </c>
      <c r="F85">
        <v>30</v>
      </c>
      <c r="G85" t="s">
        <v>54</v>
      </c>
      <c r="H85" s="2">
        <v>45362</v>
      </c>
    </row>
    <row r="86" spans="1:8" x14ac:dyDescent="0.25">
      <c r="A86" t="s">
        <v>150</v>
      </c>
      <c r="B86" s="1">
        <v>0.47690070601851853</v>
      </c>
      <c r="C86" t="s">
        <v>9</v>
      </c>
      <c r="D86" t="s">
        <v>39</v>
      </c>
      <c r="E86" t="s">
        <v>39</v>
      </c>
      <c r="F86">
        <v>30</v>
      </c>
      <c r="G86" t="s">
        <v>20</v>
      </c>
      <c r="H86" s="2">
        <v>45362</v>
      </c>
    </row>
    <row r="87" spans="1:8" x14ac:dyDescent="0.25">
      <c r="A87" t="s">
        <v>151</v>
      </c>
      <c r="B87" s="1">
        <v>0.48123589120370369</v>
      </c>
      <c r="C87" t="s">
        <v>9</v>
      </c>
      <c r="D87" t="s">
        <v>10</v>
      </c>
      <c r="E87" t="s">
        <v>109</v>
      </c>
      <c r="F87">
        <v>38.700000000000003</v>
      </c>
      <c r="G87" t="s">
        <v>93</v>
      </c>
      <c r="H87" s="2">
        <v>45362</v>
      </c>
    </row>
    <row r="88" spans="1:8" x14ac:dyDescent="0.25">
      <c r="A88" t="s">
        <v>152</v>
      </c>
      <c r="B88" s="1">
        <v>0.68363890046296294</v>
      </c>
      <c r="C88" t="s">
        <v>14</v>
      </c>
      <c r="D88" t="s">
        <v>10</v>
      </c>
      <c r="E88" t="s">
        <v>153</v>
      </c>
      <c r="F88">
        <v>28.9</v>
      </c>
      <c r="G88" t="s">
        <v>20</v>
      </c>
      <c r="H88" s="2">
        <v>45362</v>
      </c>
    </row>
    <row r="89" spans="1:8" x14ac:dyDescent="0.25">
      <c r="A89" t="s">
        <v>154</v>
      </c>
      <c r="B89" s="1">
        <v>0.68455629629629633</v>
      </c>
      <c r="C89" t="s">
        <v>14</v>
      </c>
      <c r="D89" t="s">
        <v>10</v>
      </c>
      <c r="E89" t="s">
        <v>153</v>
      </c>
      <c r="F89">
        <v>38.700000000000003</v>
      </c>
      <c r="G89" t="s">
        <v>12</v>
      </c>
      <c r="H89" s="2">
        <v>45362</v>
      </c>
    </row>
    <row r="90" spans="1:8" x14ac:dyDescent="0.25">
      <c r="A90" t="s">
        <v>155</v>
      </c>
      <c r="B90" s="1">
        <v>0.7019630555555556</v>
      </c>
      <c r="C90" t="s">
        <v>14</v>
      </c>
      <c r="D90" t="s">
        <v>10</v>
      </c>
      <c r="E90" t="s">
        <v>156</v>
      </c>
      <c r="F90">
        <v>28.9</v>
      </c>
      <c r="G90" t="s">
        <v>54</v>
      </c>
      <c r="H90" s="2">
        <v>45362</v>
      </c>
    </row>
    <row r="91" spans="1:8" x14ac:dyDescent="0.25">
      <c r="A91" t="s">
        <v>157</v>
      </c>
      <c r="B91" s="1">
        <v>0.42708677083333335</v>
      </c>
      <c r="C91" t="s">
        <v>9</v>
      </c>
      <c r="D91" t="s">
        <v>39</v>
      </c>
      <c r="E91" t="s">
        <v>39</v>
      </c>
      <c r="F91">
        <v>40</v>
      </c>
      <c r="G91" t="s">
        <v>12</v>
      </c>
      <c r="H91" s="2">
        <v>45363</v>
      </c>
    </row>
    <row r="92" spans="1:8" x14ac:dyDescent="0.25">
      <c r="A92" t="s">
        <v>158</v>
      </c>
      <c r="B92" s="1">
        <v>0.42748313657407405</v>
      </c>
      <c r="C92" t="s">
        <v>9</v>
      </c>
      <c r="D92" t="s">
        <v>10</v>
      </c>
      <c r="E92" t="s">
        <v>104</v>
      </c>
      <c r="F92">
        <v>28.9</v>
      </c>
      <c r="G92" t="s">
        <v>20</v>
      </c>
      <c r="H92" s="2">
        <v>45363</v>
      </c>
    </row>
    <row r="93" spans="1:8" x14ac:dyDescent="0.25">
      <c r="A93" t="s">
        <v>159</v>
      </c>
      <c r="B93" s="1">
        <v>0.42806581018518519</v>
      </c>
      <c r="C93" t="s">
        <v>9</v>
      </c>
      <c r="D93" t="s">
        <v>10</v>
      </c>
      <c r="E93" t="s">
        <v>104</v>
      </c>
      <c r="F93">
        <v>28.9</v>
      </c>
      <c r="G93" t="s">
        <v>54</v>
      </c>
      <c r="H93" s="2">
        <v>45363</v>
      </c>
    </row>
    <row r="94" spans="1:8" x14ac:dyDescent="0.25">
      <c r="A94" t="s">
        <v>160</v>
      </c>
      <c r="B94" s="1">
        <v>0.47275037037037038</v>
      </c>
      <c r="C94" t="s">
        <v>9</v>
      </c>
      <c r="D94" t="s">
        <v>10</v>
      </c>
      <c r="E94" t="s">
        <v>161</v>
      </c>
      <c r="F94">
        <v>38.700000000000003</v>
      </c>
      <c r="G94" t="s">
        <v>16</v>
      </c>
      <c r="H94" s="2">
        <v>45363</v>
      </c>
    </row>
    <row r="95" spans="1:8" x14ac:dyDescent="0.25">
      <c r="A95" t="s">
        <v>162</v>
      </c>
      <c r="B95" s="1">
        <v>0.53221383101851849</v>
      </c>
      <c r="C95" t="s">
        <v>14</v>
      </c>
      <c r="D95" t="s">
        <v>10</v>
      </c>
      <c r="E95" t="s">
        <v>22</v>
      </c>
      <c r="F95">
        <v>33.799999999999997</v>
      </c>
      <c r="G95" t="s">
        <v>25</v>
      </c>
      <c r="H95" s="2">
        <v>45363</v>
      </c>
    </row>
    <row r="96" spans="1:8" x14ac:dyDescent="0.25">
      <c r="A96" t="s">
        <v>163</v>
      </c>
      <c r="B96" s="1">
        <v>0.53294012731481477</v>
      </c>
      <c r="C96" t="s">
        <v>14</v>
      </c>
      <c r="D96" t="s">
        <v>10</v>
      </c>
      <c r="E96" t="s">
        <v>22</v>
      </c>
      <c r="F96">
        <v>28.9</v>
      </c>
      <c r="G96" t="s">
        <v>20</v>
      </c>
      <c r="H96" s="2">
        <v>45363</v>
      </c>
    </row>
    <row r="97" spans="1:8" x14ac:dyDescent="0.25">
      <c r="A97" t="s">
        <v>164</v>
      </c>
      <c r="B97" s="1">
        <v>0.6775847800925926</v>
      </c>
      <c r="C97" t="s">
        <v>14</v>
      </c>
      <c r="D97" t="s">
        <v>10</v>
      </c>
      <c r="E97" t="s">
        <v>165</v>
      </c>
      <c r="F97">
        <v>28.9</v>
      </c>
      <c r="G97" t="s">
        <v>20</v>
      </c>
      <c r="H97" s="2">
        <v>45363</v>
      </c>
    </row>
    <row r="98" spans="1:8" x14ac:dyDescent="0.25">
      <c r="A98" t="s">
        <v>166</v>
      </c>
      <c r="B98" s="1">
        <v>0.46299812499999998</v>
      </c>
      <c r="C98" t="s">
        <v>9</v>
      </c>
      <c r="D98" t="s">
        <v>10</v>
      </c>
      <c r="E98" t="s">
        <v>156</v>
      </c>
      <c r="F98">
        <v>38.700000000000003</v>
      </c>
      <c r="G98" t="s">
        <v>16</v>
      </c>
      <c r="H98" s="2">
        <v>45364</v>
      </c>
    </row>
    <row r="99" spans="1:8" x14ac:dyDescent="0.25">
      <c r="A99" t="s">
        <v>167</v>
      </c>
      <c r="B99" s="1">
        <v>0.49186056712962961</v>
      </c>
      <c r="C99" t="s">
        <v>9</v>
      </c>
      <c r="D99" t="s">
        <v>10</v>
      </c>
      <c r="E99" t="s">
        <v>22</v>
      </c>
      <c r="F99">
        <v>28.9</v>
      </c>
      <c r="G99" t="s">
        <v>20</v>
      </c>
      <c r="H99" s="2">
        <v>45364</v>
      </c>
    </row>
    <row r="100" spans="1:8" x14ac:dyDescent="0.25">
      <c r="A100" t="s">
        <v>168</v>
      </c>
      <c r="B100" s="1">
        <v>0.51257333333333333</v>
      </c>
      <c r="C100" t="s">
        <v>14</v>
      </c>
      <c r="D100" t="s">
        <v>10</v>
      </c>
      <c r="E100" t="s">
        <v>169</v>
      </c>
      <c r="F100">
        <v>28.9</v>
      </c>
      <c r="G100" t="s">
        <v>20</v>
      </c>
      <c r="H100" s="2">
        <v>45364</v>
      </c>
    </row>
    <row r="101" spans="1:8" x14ac:dyDescent="0.25">
      <c r="A101" t="s">
        <v>170</v>
      </c>
      <c r="B101" s="1">
        <v>0.51325379629629631</v>
      </c>
      <c r="C101" t="s">
        <v>14</v>
      </c>
      <c r="D101" t="s">
        <v>10</v>
      </c>
      <c r="E101" t="s">
        <v>169</v>
      </c>
      <c r="F101">
        <v>28.9</v>
      </c>
      <c r="G101" t="s">
        <v>20</v>
      </c>
      <c r="H101" s="2">
        <v>45364</v>
      </c>
    </row>
    <row r="102" spans="1:8" x14ac:dyDescent="0.25">
      <c r="A102" t="s">
        <v>171</v>
      </c>
      <c r="B102" s="1">
        <v>0.52396197916666665</v>
      </c>
      <c r="C102" t="s">
        <v>14</v>
      </c>
      <c r="D102" t="s">
        <v>39</v>
      </c>
      <c r="E102" t="s">
        <v>39</v>
      </c>
      <c r="F102">
        <v>25</v>
      </c>
      <c r="G102" t="s">
        <v>72</v>
      </c>
      <c r="H102" s="2">
        <v>45364</v>
      </c>
    </row>
    <row r="103" spans="1:8" x14ac:dyDescent="0.25">
      <c r="A103" t="s">
        <v>172</v>
      </c>
      <c r="B103" s="1">
        <v>0.60186197916666662</v>
      </c>
      <c r="C103" t="s">
        <v>14</v>
      </c>
      <c r="D103" t="s">
        <v>10</v>
      </c>
      <c r="E103" t="s">
        <v>173</v>
      </c>
      <c r="F103">
        <v>33.799999999999997</v>
      </c>
      <c r="G103" t="s">
        <v>25</v>
      </c>
      <c r="H103" s="2">
        <v>45364</v>
      </c>
    </row>
    <row r="104" spans="1:8" x14ac:dyDescent="0.25">
      <c r="A104" t="s">
        <v>174</v>
      </c>
      <c r="B104" s="1">
        <v>0.65303542824074079</v>
      </c>
      <c r="C104" t="s">
        <v>14</v>
      </c>
      <c r="D104" t="s">
        <v>10</v>
      </c>
      <c r="E104" t="s">
        <v>175</v>
      </c>
      <c r="F104">
        <v>24</v>
      </c>
      <c r="G104" t="s">
        <v>72</v>
      </c>
      <c r="H104" s="2">
        <v>45364</v>
      </c>
    </row>
    <row r="105" spans="1:8" x14ac:dyDescent="0.25">
      <c r="A105" t="s">
        <v>176</v>
      </c>
      <c r="B105" s="1">
        <v>0.65370861111111112</v>
      </c>
      <c r="C105" t="s">
        <v>14</v>
      </c>
      <c r="D105" t="s">
        <v>10</v>
      </c>
      <c r="E105" t="s">
        <v>175</v>
      </c>
      <c r="F105">
        <v>24</v>
      </c>
      <c r="G105" t="s">
        <v>72</v>
      </c>
      <c r="H105" s="2">
        <v>45364</v>
      </c>
    </row>
    <row r="106" spans="1:8" x14ac:dyDescent="0.25">
      <c r="A106" t="s">
        <v>177</v>
      </c>
      <c r="B106" s="1">
        <v>0.69941403935185187</v>
      </c>
      <c r="C106" t="s">
        <v>14</v>
      </c>
      <c r="D106" t="s">
        <v>10</v>
      </c>
      <c r="E106" t="s">
        <v>178</v>
      </c>
      <c r="F106">
        <v>24</v>
      </c>
      <c r="G106" t="s">
        <v>72</v>
      </c>
      <c r="H106" s="2">
        <v>45364</v>
      </c>
    </row>
    <row r="107" spans="1:8" x14ac:dyDescent="0.25">
      <c r="A107" t="s">
        <v>179</v>
      </c>
      <c r="B107" s="1">
        <v>0.41819723379629631</v>
      </c>
      <c r="C107" t="s">
        <v>9</v>
      </c>
      <c r="D107" t="s">
        <v>39</v>
      </c>
      <c r="E107" t="s">
        <v>39</v>
      </c>
      <c r="F107">
        <v>40</v>
      </c>
      <c r="G107" t="s">
        <v>12</v>
      </c>
      <c r="H107" s="2">
        <v>45365</v>
      </c>
    </row>
    <row r="108" spans="1:8" x14ac:dyDescent="0.25">
      <c r="A108" t="s">
        <v>180</v>
      </c>
      <c r="B108" s="1">
        <v>0.43649325231481484</v>
      </c>
      <c r="C108" t="s">
        <v>9</v>
      </c>
      <c r="D108" t="s">
        <v>10</v>
      </c>
      <c r="E108" t="s">
        <v>181</v>
      </c>
      <c r="F108">
        <v>38.700000000000003</v>
      </c>
      <c r="G108" t="s">
        <v>12</v>
      </c>
      <c r="H108" s="2">
        <v>45365</v>
      </c>
    </row>
    <row r="109" spans="1:8" x14ac:dyDescent="0.25">
      <c r="A109" t="s">
        <v>182</v>
      </c>
      <c r="B109" s="1">
        <v>0.43720234953703702</v>
      </c>
      <c r="C109" t="s">
        <v>9</v>
      </c>
      <c r="D109" t="s">
        <v>10</v>
      </c>
      <c r="E109" t="s">
        <v>181</v>
      </c>
      <c r="F109">
        <v>38.700000000000003</v>
      </c>
      <c r="G109" t="s">
        <v>16</v>
      </c>
      <c r="H109" s="2">
        <v>45365</v>
      </c>
    </row>
    <row r="110" spans="1:8" x14ac:dyDescent="0.25">
      <c r="A110" t="s">
        <v>183</v>
      </c>
      <c r="B110" s="1">
        <v>0.56075851851851855</v>
      </c>
      <c r="C110" t="s">
        <v>14</v>
      </c>
      <c r="D110" t="s">
        <v>10</v>
      </c>
      <c r="E110" t="s">
        <v>43</v>
      </c>
      <c r="F110">
        <v>28.9</v>
      </c>
      <c r="G110" t="s">
        <v>54</v>
      </c>
      <c r="H110" s="2">
        <v>45365</v>
      </c>
    </row>
    <row r="111" spans="1:8" x14ac:dyDescent="0.25">
      <c r="A111" t="s">
        <v>184</v>
      </c>
      <c r="B111" s="1">
        <v>0.56139498842592594</v>
      </c>
      <c r="C111" t="s">
        <v>14</v>
      </c>
      <c r="D111" t="s">
        <v>10</v>
      </c>
      <c r="E111" t="s">
        <v>43</v>
      </c>
      <c r="F111">
        <v>28.9</v>
      </c>
      <c r="G111" t="s">
        <v>20</v>
      </c>
      <c r="H111" s="2">
        <v>45365</v>
      </c>
    </row>
    <row r="112" spans="1:8" x14ac:dyDescent="0.25">
      <c r="A112" t="s">
        <v>185</v>
      </c>
      <c r="B112" s="1">
        <v>0.57777667824074075</v>
      </c>
      <c r="C112" t="s">
        <v>14</v>
      </c>
      <c r="D112" t="s">
        <v>10</v>
      </c>
      <c r="E112" t="s">
        <v>186</v>
      </c>
      <c r="F112">
        <v>33.799999999999997</v>
      </c>
      <c r="G112" t="s">
        <v>25</v>
      </c>
      <c r="H112" s="2">
        <v>45365</v>
      </c>
    </row>
    <row r="113" spans="1:8" x14ac:dyDescent="0.25">
      <c r="A113" t="s">
        <v>187</v>
      </c>
      <c r="B113" s="1">
        <v>0.57842879629629629</v>
      </c>
      <c r="C113" t="s">
        <v>14</v>
      </c>
      <c r="D113" t="s">
        <v>10</v>
      </c>
      <c r="E113" t="s">
        <v>188</v>
      </c>
      <c r="F113">
        <v>24</v>
      </c>
      <c r="G113" t="s">
        <v>72</v>
      </c>
      <c r="H113" s="2">
        <v>45365</v>
      </c>
    </row>
    <row r="114" spans="1:8" x14ac:dyDescent="0.25">
      <c r="A114" t="s">
        <v>189</v>
      </c>
      <c r="B114" s="1">
        <v>0.6393329513888889</v>
      </c>
      <c r="C114" t="s">
        <v>14</v>
      </c>
      <c r="D114" t="s">
        <v>10</v>
      </c>
      <c r="E114" t="s">
        <v>190</v>
      </c>
      <c r="F114">
        <v>38.700000000000003</v>
      </c>
      <c r="G114" t="s">
        <v>12</v>
      </c>
      <c r="H114" s="2">
        <v>45365</v>
      </c>
    </row>
    <row r="115" spans="1:8" x14ac:dyDescent="0.25">
      <c r="A115" t="s">
        <v>191</v>
      </c>
      <c r="B115" s="1">
        <v>0.66955446759259263</v>
      </c>
      <c r="C115" t="s">
        <v>14</v>
      </c>
      <c r="D115" t="s">
        <v>10</v>
      </c>
      <c r="E115" t="s">
        <v>192</v>
      </c>
      <c r="F115">
        <v>33.799999999999997</v>
      </c>
      <c r="G115" t="s">
        <v>25</v>
      </c>
      <c r="H115" s="2">
        <v>45365</v>
      </c>
    </row>
    <row r="116" spans="1:8" x14ac:dyDescent="0.25">
      <c r="A116" t="s">
        <v>193</v>
      </c>
      <c r="B116" s="1">
        <v>0.70460881944444442</v>
      </c>
      <c r="C116" t="s">
        <v>14</v>
      </c>
      <c r="D116" t="s">
        <v>10</v>
      </c>
      <c r="E116" t="s">
        <v>165</v>
      </c>
      <c r="F116">
        <v>24</v>
      </c>
      <c r="G116" t="s">
        <v>72</v>
      </c>
      <c r="H116" s="2">
        <v>45365</v>
      </c>
    </row>
    <row r="117" spans="1:8" x14ac:dyDescent="0.25">
      <c r="A117" t="s">
        <v>194</v>
      </c>
      <c r="B117" s="1">
        <v>0.79092423611111107</v>
      </c>
      <c r="C117" t="s">
        <v>14</v>
      </c>
      <c r="D117" t="s">
        <v>10</v>
      </c>
      <c r="E117" t="s">
        <v>61</v>
      </c>
      <c r="F117">
        <v>38.700000000000003</v>
      </c>
      <c r="G117" t="s">
        <v>16</v>
      </c>
      <c r="H117" s="2">
        <v>45365</v>
      </c>
    </row>
    <row r="118" spans="1:8" x14ac:dyDescent="0.25">
      <c r="A118" t="s">
        <v>195</v>
      </c>
      <c r="B118" s="1">
        <v>0.79176693287037037</v>
      </c>
      <c r="C118" t="s">
        <v>14</v>
      </c>
      <c r="D118" t="s">
        <v>10</v>
      </c>
      <c r="E118" t="s">
        <v>43</v>
      </c>
      <c r="F118">
        <v>28.9</v>
      </c>
      <c r="G118" t="s">
        <v>54</v>
      </c>
      <c r="H118" s="2">
        <v>45365</v>
      </c>
    </row>
    <row r="119" spans="1:8" x14ac:dyDescent="0.25">
      <c r="A119" t="s">
        <v>196</v>
      </c>
      <c r="B119" s="1">
        <v>0.41824690972222223</v>
      </c>
      <c r="C119" t="s">
        <v>9</v>
      </c>
      <c r="D119" t="s">
        <v>39</v>
      </c>
      <c r="E119" t="s">
        <v>39</v>
      </c>
      <c r="F119">
        <v>40</v>
      </c>
      <c r="G119" t="s">
        <v>12</v>
      </c>
      <c r="H119" s="2">
        <v>45366</v>
      </c>
    </row>
    <row r="120" spans="1:8" x14ac:dyDescent="0.25">
      <c r="A120" t="s">
        <v>197</v>
      </c>
      <c r="B120" s="1">
        <v>0.4534974537037037</v>
      </c>
      <c r="C120" t="s">
        <v>9</v>
      </c>
      <c r="D120" t="s">
        <v>10</v>
      </c>
      <c r="E120" t="s">
        <v>198</v>
      </c>
      <c r="F120">
        <v>38.700000000000003</v>
      </c>
      <c r="G120" t="s">
        <v>16</v>
      </c>
      <c r="H120" s="2">
        <v>45366</v>
      </c>
    </row>
    <row r="121" spans="1:8" x14ac:dyDescent="0.25">
      <c r="A121" t="s">
        <v>199</v>
      </c>
      <c r="B121" s="1">
        <v>0.76351761574074073</v>
      </c>
      <c r="C121" t="s">
        <v>14</v>
      </c>
      <c r="D121" t="s">
        <v>10</v>
      </c>
      <c r="E121" t="s">
        <v>43</v>
      </c>
      <c r="F121">
        <v>28.9</v>
      </c>
      <c r="G121" t="s">
        <v>20</v>
      </c>
      <c r="H121" s="2">
        <v>45366</v>
      </c>
    </row>
    <row r="122" spans="1:8" x14ac:dyDescent="0.25">
      <c r="A122" t="s">
        <v>200</v>
      </c>
      <c r="B122" s="1">
        <v>0.50480565972222224</v>
      </c>
      <c r="C122" t="s">
        <v>14</v>
      </c>
      <c r="D122" t="s">
        <v>10</v>
      </c>
      <c r="E122" t="s">
        <v>201</v>
      </c>
      <c r="F122">
        <v>33.799999999999997</v>
      </c>
      <c r="G122" t="s">
        <v>25</v>
      </c>
      <c r="H122" s="2">
        <v>45367</v>
      </c>
    </row>
    <row r="123" spans="1:8" x14ac:dyDescent="0.25">
      <c r="A123" t="s">
        <v>202</v>
      </c>
      <c r="B123" s="1">
        <v>0.50548512731481476</v>
      </c>
      <c r="C123" t="s">
        <v>14</v>
      </c>
      <c r="D123" t="s">
        <v>10</v>
      </c>
      <c r="E123" t="s">
        <v>201</v>
      </c>
      <c r="F123">
        <v>28.9</v>
      </c>
      <c r="G123" t="s">
        <v>20</v>
      </c>
      <c r="H123" s="2">
        <v>45367</v>
      </c>
    </row>
    <row r="124" spans="1:8" x14ac:dyDescent="0.25">
      <c r="A124" t="s">
        <v>203</v>
      </c>
      <c r="B124" s="1">
        <v>0.66549141203703699</v>
      </c>
      <c r="C124" t="s">
        <v>14</v>
      </c>
      <c r="D124" t="s">
        <v>10</v>
      </c>
      <c r="E124" t="s">
        <v>35</v>
      </c>
      <c r="F124">
        <v>28.9</v>
      </c>
      <c r="G124" t="s">
        <v>54</v>
      </c>
      <c r="H124" s="2">
        <v>45367</v>
      </c>
    </row>
    <row r="125" spans="1:8" x14ac:dyDescent="0.25">
      <c r="A125" t="s">
        <v>204</v>
      </c>
      <c r="B125" s="1">
        <v>0.66900159722222219</v>
      </c>
      <c r="C125" t="s">
        <v>14</v>
      </c>
      <c r="D125" t="s">
        <v>10</v>
      </c>
      <c r="E125" t="s">
        <v>35</v>
      </c>
      <c r="F125">
        <v>28.9</v>
      </c>
      <c r="G125" t="s">
        <v>54</v>
      </c>
      <c r="H125" s="2">
        <v>45367</v>
      </c>
    </row>
    <row r="126" spans="1:8" x14ac:dyDescent="0.25">
      <c r="A126" t="s">
        <v>205</v>
      </c>
      <c r="B126" s="1">
        <v>0.66957689814814814</v>
      </c>
      <c r="C126" t="s">
        <v>14</v>
      </c>
      <c r="D126" t="s">
        <v>10</v>
      </c>
      <c r="E126" t="s">
        <v>43</v>
      </c>
      <c r="F126">
        <v>28.9</v>
      </c>
      <c r="G126" t="s">
        <v>54</v>
      </c>
      <c r="H126" s="2">
        <v>45367</v>
      </c>
    </row>
    <row r="127" spans="1:8" x14ac:dyDescent="0.25">
      <c r="A127" t="s">
        <v>206</v>
      </c>
      <c r="B127" s="1">
        <v>0.74869491898148144</v>
      </c>
      <c r="C127" t="s">
        <v>14</v>
      </c>
      <c r="D127" t="s">
        <v>10</v>
      </c>
      <c r="E127" t="s">
        <v>207</v>
      </c>
      <c r="F127">
        <v>33.799999999999997</v>
      </c>
      <c r="G127" t="s">
        <v>25</v>
      </c>
      <c r="H127" s="2">
        <v>45367</v>
      </c>
    </row>
    <row r="128" spans="1:8" x14ac:dyDescent="0.25">
      <c r="A128" t="s">
        <v>208</v>
      </c>
      <c r="B128" s="1">
        <v>0.42385878472222221</v>
      </c>
      <c r="C128" t="s">
        <v>9</v>
      </c>
      <c r="D128" t="s">
        <v>39</v>
      </c>
      <c r="E128" t="s">
        <v>39</v>
      </c>
      <c r="F128">
        <v>40</v>
      </c>
      <c r="G128" t="s">
        <v>12</v>
      </c>
      <c r="H128" s="2">
        <v>45368</v>
      </c>
    </row>
    <row r="129" spans="1:8" x14ac:dyDescent="0.25">
      <c r="A129" t="s">
        <v>209</v>
      </c>
      <c r="B129" s="1">
        <v>0.53849612268518521</v>
      </c>
      <c r="C129" t="s">
        <v>14</v>
      </c>
      <c r="D129" t="s">
        <v>10</v>
      </c>
      <c r="E129" t="s">
        <v>210</v>
      </c>
      <c r="F129">
        <v>28.9</v>
      </c>
      <c r="G129" t="s">
        <v>54</v>
      </c>
      <c r="H129" s="2">
        <v>45368</v>
      </c>
    </row>
    <row r="130" spans="1:8" x14ac:dyDescent="0.25">
      <c r="A130" t="s">
        <v>211</v>
      </c>
      <c r="B130" s="1">
        <v>0.47082952546296297</v>
      </c>
      <c r="C130" t="s">
        <v>9</v>
      </c>
      <c r="D130" t="s">
        <v>10</v>
      </c>
      <c r="E130" t="s">
        <v>212</v>
      </c>
      <c r="F130">
        <v>28.9</v>
      </c>
      <c r="G130" t="s">
        <v>54</v>
      </c>
      <c r="H130" s="2">
        <v>45369</v>
      </c>
    </row>
    <row r="131" spans="1:8" x14ac:dyDescent="0.25">
      <c r="A131" t="s">
        <v>213</v>
      </c>
      <c r="B131" s="1">
        <v>0.64698755787037032</v>
      </c>
      <c r="C131" t="s">
        <v>14</v>
      </c>
      <c r="D131" t="s">
        <v>10</v>
      </c>
      <c r="E131" t="s">
        <v>19</v>
      </c>
      <c r="F131">
        <v>28.9</v>
      </c>
      <c r="G131" t="s">
        <v>20</v>
      </c>
      <c r="H131" s="2">
        <v>45369</v>
      </c>
    </row>
    <row r="132" spans="1:8" x14ac:dyDescent="0.25">
      <c r="A132" t="s">
        <v>214</v>
      </c>
      <c r="B132" s="1">
        <v>0.64766480324074072</v>
      </c>
      <c r="C132" t="s">
        <v>14</v>
      </c>
      <c r="D132" t="s">
        <v>10</v>
      </c>
      <c r="E132" t="s">
        <v>19</v>
      </c>
      <c r="F132">
        <v>28.9</v>
      </c>
      <c r="G132" t="s">
        <v>20</v>
      </c>
      <c r="H132" s="2">
        <v>45369</v>
      </c>
    </row>
    <row r="133" spans="1:8" x14ac:dyDescent="0.25">
      <c r="A133" t="s">
        <v>215</v>
      </c>
      <c r="B133" s="1">
        <v>0.64834152777777776</v>
      </c>
      <c r="C133" t="s">
        <v>14</v>
      </c>
      <c r="D133" t="s">
        <v>10</v>
      </c>
      <c r="E133" t="s">
        <v>19</v>
      </c>
      <c r="F133">
        <v>28.9</v>
      </c>
      <c r="G133" t="s">
        <v>20</v>
      </c>
      <c r="H133" s="2">
        <v>45369</v>
      </c>
    </row>
    <row r="134" spans="1:8" x14ac:dyDescent="0.25">
      <c r="A134" t="s">
        <v>216</v>
      </c>
      <c r="B134" s="1">
        <v>0.43085643518518518</v>
      </c>
      <c r="C134" t="s">
        <v>9</v>
      </c>
      <c r="D134" t="s">
        <v>39</v>
      </c>
      <c r="E134" t="s">
        <v>39</v>
      </c>
      <c r="F134">
        <v>30</v>
      </c>
      <c r="G134" t="s">
        <v>54</v>
      </c>
      <c r="H134" s="2">
        <v>45370</v>
      </c>
    </row>
    <row r="135" spans="1:8" x14ac:dyDescent="0.25">
      <c r="A135" t="s">
        <v>217</v>
      </c>
      <c r="B135" s="1">
        <v>0.58497148148148148</v>
      </c>
      <c r="C135" t="s">
        <v>14</v>
      </c>
      <c r="D135" t="s">
        <v>10</v>
      </c>
      <c r="E135" t="s">
        <v>218</v>
      </c>
      <c r="F135">
        <v>38.700000000000003</v>
      </c>
      <c r="G135" t="s">
        <v>12</v>
      </c>
      <c r="H135" s="2">
        <v>45370</v>
      </c>
    </row>
    <row r="136" spans="1:8" x14ac:dyDescent="0.25">
      <c r="A136" t="s">
        <v>219</v>
      </c>
      <c r="B136" s="1">
        <v>0.58564542824074073</v>
      </c>
      <c r="C136" t="s">
        <v>14</v>
      </c>
      <c r="D136" t="s">
        <v>10</v>
      </c>
      <c r="E136" t="s">
        <v>218</v>
      </c>
      <c r="F136">
        <v>38.700000000000003</v>
      </c>
      <c r="G136" t="s">
        <v>12</v>
      </c>
      <c r="H136" s="2">
        <v>45370</v>
      </c>
    </row>
    <row r="137" spans="1:8" x14ac:dyDescent="0.25">
      <c r="A137" t="s">
        <v>220</v>
      </c>
      <c r="B137" s="1">
        <v>0.62819802083333331</v>
      </c>
      <c r="C137" t="s">
        <v>14</v>
      </c>
      <c r="D137" t="s">
        <v>10</v>
      </c>
      <c r="E137" t="s">
        <v>161</v>
      </c>
      <c r="F137">
        <v>38.700000000000003</v>
      </c>
      <c r="G137" t="s">
        <v>16</v>
      </c>
      <c r="H137" s="2">
        <v>45370</v>
      </c>
    </row>
    <row r="138" spans="1:8" x14ac:dyDescent="0.25">
      <c r="A138" t="s">
        <v>221</v>
      </c>
      <c r="B138" s="1">
        <v>0.70403594907407407</v>
      </c>
      <c r="C138" t="s">
        <v>14</v>
      </c>
      <c r="D138" t="s">
        <v>10</v>
      </c>
      <c r="E138" t="s">
        <v>222</v>
      </c>
      <c r="F138">
        <v>33.799999999999997</v>
      </c>
      <c r="G138" t="s">
        <v>25</v>
      </c>
      <c r="H138" s="2">
        <v>45370</v>
      </c>
    </row>
    <row r="139" spans="1:8" x14ac:dyDescent="0.25">
      <c r="A139" t="s">
        <v>223</v>
      </c>
      <c r="B139" s="1">
        <v>0.81010042824074069</v>
      </c>
      <c r="C139" t="s">
        <v>14</v>
      </c>
      <c r="D139" t="s">
        <v>39</v>
      </c>
      <c r="E139" t="s">
        <v>39</v>
      </c>
      <c r="F139">
        <v>40</v>
      </c>
      <c r="G139" t="s">
        <v>16</v>
      </c>
      <c r="H139" s="2">
        <v>45370</v>
      </c>
    </row>
    <row r="140" spans="1:8" x14ac:dyDescent="0.25">
      <c r="A140" t="s">
        <v>224</v>
      </c>
      <c r="B140" s="1">
        <v>0.48699540509259259</v>
      </c>
      <c r="C140" t="s">
        <v>9</v>
      </c>
      <c r="D140" t="s">
        <v>10</v>
      </c>
      <c r="E140" t="s">
        <v>43</v>
      </c>
      <c r="F140">
        <v>28.9</v>
      </c>
      <c r="G140" t="s">
        <v>54</v>
      </c>
      <c r="H140" s="2">
        <v>45371</v>
      </c>
    </row>
    <row r="141" spans="1:8" x14ac:dyDescent="0.25">
      <c r="A141" t="s">
        <v>225</v>
      </c>
      <c r="B141" s="1">
        <v>0.51467277777777776</v>
      </c>
      <c r="C141" t="s">
        <v>14</v>
      </c>
      <c r="D141" t="s">
        <v>39</v>
      </c>
      <c r="E141" t="s">
        <v>39</v>
      </c>
      <c r="F141">
        <v>40</v>
      </c>
      <c r="G141" t="s">
        <v>12</v>
      </c>
      <c r="H141" s="2">
        <v>45371</v>
      </c>
    </row>
    <row r="142" spans="1:8" x14ac:dyDescent="0.25">
      <c r="A142" t="s">
        <v>226</v>
      </c>
      <c r="B142" s="1">
        <v>0.52140009259259257</v>
      </c>
      <c r="C142" t="s">
        <v>14</v>
      </c>
      <c r="D142" t="s">
        <v>10</v>
      </c>
      <c r="E142" t="s">
        <v>161</v>
      </c>
      <c r="F142">
        <v>28.9</v>
      </c>
      <c r="G142" t="s">
        <v>54</v>
      </c>
      <c r="H142" s="2">
        <v>45371</v>
      </c>
    </row>
    <row r="143" spans="1:8" x14ac:dyDescent="0.25">
      <c r="A143" t="s">
        <v>227</v>
      </c>
      <c r="B143" s="1">
        <v>0.55332631944444444</v>
      </c>
      <c r="C143" t="s">
        <v>14</v>
      </c>
      <c r="D143" t="s">
        <v>10</v>
      </c>
      <c r="E143" t="s">
        <v>228</v>
      </c>
      <c r="F143">
        <v>38.700000000000003</v>
      </c>
      <c r="G143" t="s">
        <v>93</v>
      </c>
      <c r="H143" s="2">
        <v>45371</v>
      </c>
    </row>
    <row r="144" spans="1:8" x14ac:dyDescent="0.25">
      <c r="A144" t="s">
        <v>229</v>
      </c>
      <c r="B144" s="1">
        <v>0.6962745023148148</v>
      </c>
      <c r="C144" t="s">
        <v>14</v>
      </c>
      <c r="D144" t="s">
        <v>10</v>
      </c>
      <c r="E144" t="s">
        <v>165</v>
      </c>
      <c r="F144">
        <v>38.700000000000003</v>
      </c>
      <c r="G144" t="s">
        <v>32</v>
      </c>
      <c r="H144" s="2">
        <v>45371</v>
      </c>
    </row>
    <row r="145" spans="1:8" x14ac:dyDescent="0.25">
      <c r="A145" t="s">
        <v>230</v>
      </c>
      <c r="B145" s="1">
        <v>0.74338866898148148</v>
      </c>
      <c r="C145" t="s">
        <v>14</v>
      </c>
      <c r="D145" t="s">
        <v>10</v>
      </c>
      <c r="E145" t="s">
        <v>231</v>
      </c>
      <c r="F145">
        <v>38.700000000000003</v>
      </c>
      <c r="G145" t="s">
        <v>12</v>
      </c>
      <c r="H145" s="2">
        <v>45371</v>
      </c>
    </row>
    <row r="146" spans="1:8" x14ac:dyDescent="0.25">
      <c r="A146" t="s">
        <v>232</v>
      </c>
      <c r="B146" s="1">
        <v>0.42982612268518516</v>
      </c>
      <c r="C146" t="s">
        <v>9</v>
      </c>
      <c r="D146" t="s">
        <v>39</v>
      </c>
      <c r="E146" t="s">
        <v>39</v>
      </c>
      <c r="F146">
        <v>40</v>
      </c>
      <c r="G146" t="s">
        <v>93</v>
      </c>
      <c r="H146" s="2">
        <v>45372</v>
      </c>
    </row>
    <row r="147" spans="1:8" x14ac:dyDescent="0.25">
      <c r="A147" t="s">
        <v>233</v>
      </c>
      <c r="B147" s="1">
        <v>0.51746752314814815</v>
      </c>
      <c r="C147" t="s">
        <v>14</v>
      </c>
      <c r="D147" t="s">
        <v>10</v>
      </c>
      <c r="E147" t="s">
        <v>43</v>
      </c>
      <c r="F147">
        <v>28.9</v>
      </c>
      <c r="G147" t="s">
        <v>54</v>
      </c>
      <c r="H147" s="2">
        <v>45372</v>
      </c>
    </row>
    <row r="148" spans="1:8" x14ac:dyDescent="0.25">
      <c r="A148" t="s">
        <v>234</v>
      </c>
      <c r="B148" s="1">
        <v>0.5182572685185185</v>
      </c>
      <c r="C148" t="s">
        <v>14</v>
      </c>
      <c r="D148" t="s">
        <v>10</v>
      </c>
      <c r="E148" t="s">
        <v>43</v>
      </c>
      <c r="F148">
        <v>38.700000000000003</v>
      </c>
      <c r="G148" t="s">
        <v>93</v>
      </c>
      <c r="H148" s="2">
        <v>45372</v>
      </c>
    </row>
    <row r="149" spans="1:8" x14ac:dyDescent="0.25">
      <c r="A149" t="s">
        <v>235</v>
      </c>
      <c r="B149" s="1">
        <v>0.72293348379629629</v>
      </c>
      <c r="C149" t="s">
        <v>14</v>
      </c>
      <c r="D149" t="s">
        <v>39</v>
      </c>
      <c r="E149" t="s">
        <v>39</v>
      </c>
      <c r="F149">
        <v>30</v>
      </c>
      <c r="G149" t="s">
        <v>20</v>
      </c>
      <c r="H149" s="2">
        <v>45372</v>
      </c>
    </row>
    <row r="150" spans="1:8" x14ac:dyDescent="0.25">
      <c r="A150" t="s">
        <v>236</v>
      </c>
      <c r="B150" s="1">
        <v>0.72362677083333338</v>
      </c>
      <c r="C150" t="s">
        <v>14</v>
      </c>
      <c r="D150" t="s">
        <v>10</v>
      </c>
      <c r="E150" t="s">
        <v>43</v>
      </c>
      <c r="F150">
        <v>28.9</v>
      </c>
      <c r="G150" t="s">
        <v>54</v>
      </c>
      <c r="H150" s="2">
        <v>45372</v>
      </c>
    </row>
    <row r="151" spans="1:8" x14ac:dyDescent="0.25">
      <c r="A151" t="s">
        <v>237</v>
      </c>
      <c r="B151" s="1">
        <v>0.80597810185185181</v>
      </c>
      <c r="C151" t="s">
        <v>14</v>
      </c>
      <c r="D151" t="s">
        <v>10</v>
      </c>
      <c r="E151" t="s">
        <v>238</v>
      </c>
      <c r="F151">
        <v>38.700000000000003</v>
      </c>
      <c r="G151" t="s">
        <v>12</v>
      </c>
      <c r="H151" s="2">
        <v>45372</v>
      </c>
    </row>
    <row r="152" spans="1:8" x14ac:dyDescent="0.25">
      <c r="A152" t="s">
        <v>239</v>
      </c>
      <c r="B152" s="1">
        <v>0.44159281249999999</v>
      </c>
      <c r="C152" t="s">
        <v>9</v>
      </c>
      <c r="D152" t="s">
        <v>10</v>
      </c>
      <c r="E152" t="s">
        <v>240</v>
      </c>
      <c r="F152">
        <v>33.799999999999997</v>
      </c>
      <c r="G152" t="s">
        <v>25</v>
      </c>
      <c r="H152" s="2">
        <v>45373</v>
      </c>
    </row>
    <row r="153" spans="1:8" x14ac:dyDescent="0.25">
      <c r="A153" t="s">
        <v>241</v>
      </c>
      <c r="B153" s="1">
        <v>0.56204100694444448</v>
      </c>
      <c r="C153" t="s">
        <v>14</v>
      </c>
      <c r="D153" t="s">
        <v>10</v>
      </c>
      <c r="E153" t="s">
        <v>242</v>
      </c>
      <c r="F153">
        <v>33.799999999999997</v>
      </c>
      <c r="G153" t="s">
        <v>25</v>
      </c>
      <c r="H153" s="2">
        <v>45373</v>
      </c>
    </row>
    <row r="154" spans="1:8" x14ac:dyDescent="0.25">
      <c r="A154" t="s">
        <v>243</v>
      </c>
      <c r="B154" s="1">
        <v>0.67725055555555558</v>
      </c>
      <c r="C154" t="s">
        <v>14</v>
      </c>
      <c r="D154" t="s">
        <v>39</v>
      </c>
      <c r="E154" t="s">
        <v>39</v>
      </c>
      <c r="F154">
        <v>40</v>
      </c>
      <c r="G154" t="s">
        <v>93</v>
      </c>
      <c r="H154" s="2">
        <v>45373</v>
      </c>
    </row>
    <row r="155" spans="1:8" x14ac:dyDescent="0.25">
      <c r="A155" t="s">
        <v>244</v>
      </c>
      <c r="B155" s="1">
        <v>0.72018199074074074</v>
      </c>
      <c r="C155" t="s">
        <v>14</v>
      </c>
      <c r="D155" t="s">
        <v>10</v>
      </c>
      <c r="E155" t="s">
        <v>43</v>
      </c>
      <c r="F155">
        <v>28.9</v>
      </c>
      <c r="G155" t="s">
        <v>20</v>
      </c>
      <c r="H155" s="2">
        <v>45373</v>
      </c>
    </row>
    <row r="156" spans="1:8" x14ac:dyDescent="0.25">
      <c r="A156" t="s">
        <v>245</v>
      </c>
      <c r="B156" s="1">
        <v>0.72082165509259255</v>
      </c>
      <c r="C156" t="s">
        <v>14</v>
      </c>
      <c r="D156" t="s">
        <v>10</v>
      </c>
      <c r="E156" t="s">
        <v>43</v>
      </c>
      <c r="F156">
        <v>24</v>
      </c>
      <c r="G156" t="s">
        <v>72</v>
      </c>
      <c r="H156" s="2">
        <v>45373</v>
      </c>
    </row>
    <row r="157" spans="1:8" x14ac:dyDescent="0.25">
      <c r="A157" t="s">
        <v>246</v>
      </c>
      <c r="B157" s="1">
        <v>0.72279502314814814</v>
      </c>
      <c r="C157" t="s">
        <v>14</v>
      </c>
      <c r="D157" t="s">
        <v>10</v>
      </c>
      <c r="E157" t="s">
        <v>165</v>
      </c>
      <c r="F157">
        <v>28.9</v>
      </c>
      <c r="G157" t="s">
        <v>20</v>
      </c>
      <c r="H157" s="2">
        <v>45373</v>
      </c>
    </row>
    <row r="158" spans="1:8" x14ac:dyDescent="0.25">
      <c r="A158" t="s">
        <v>247</v>
      </c>
      <c r="B158" s="1">
        <v>0.44721711805555553</v>
      </c>
      <c r="C158" t="s">
        <v>9</v>
      </c>
      <c r="D158" t="s">
        <v>10</v>
      </c>
      <c r="E158" t="s">
        <v>248</v>
      </c>
      <c r="F158">
        <v>38.700000000000003</v>
      </c>
      <c r="G158" t="s">
        <v>12</v>
      </c>
      <c r="H158" s="2">
        <v>45374</v>
      </c>
    </row>
    <row r="159" spans="1:8" x14ac:dyDescent="0.25">
      <c r="A159" t="s">
        <v>249</v>
      </c>
      <c r="B159" s="1">
        <v>0.44799950231481483</v>
      </c>
      <c r="C159" t="s">
        <v>9</v>
      </c>
      <c r="D159" t="s">
        <v>10</v>
      </c>
      <c r="E159" t="s">
        <v>250</v>
      </c>
      <c r="F159">
        <v>33.799999999999997</v>
      </c>
      <c r="G159" t="s">
        <v>25</v>
      </c>
      <c r="H159" s="2">
        <v>45374</v>
      </c>
    </row>
    <row r="160" spans="1:8" x14ac:dyDescent="0.25">
      <c r="A160" t="s">
        <v>251</v>
      </c>
      <c r="B160" s="1">
        <v>0.54869978009259257</v>
      </c>
      <c r="C160" t="s">
        <v>14</v>
      </c>
      <c r="D160" t="s">
        <v>10</v>
      </c>
      <c r="E160" t="s">
        <v>252</v>
      </c>
      <c r="F160">
        <v>38.700000000000003</v>
      </c>
      <c r="G160" t="s">
        <v>93</v>
      </c>
      <c r="H160" s="2">
        <v>45374</v>
      </c>
    </row>
    <row r="161" spans="1:8" x14ac:dyDescent="0.25">
      <c r="A161" t="s">
        <v>253</v>
      </c>
      <c r="B161" s="1">
        <v>0.54944710648148143</v>
      </c>
      <c r="C161" t="s">
        <v>14</v>
      </c>
      <c r="D161" t="s">
        <v>10</v>
      </c>
      <c r="E161" t="s">
        <v>252</v>
      </c>
      <c r="F161">
        <v>38.700000000000003</v>
      </c>
      <c r="G161" t="s">
        <v>32</v>
      </c>
      <c r="H161" s="2">
        <v>45374</v>
      </c>
    </row>
    <row r="162" spans="1:8" x14ac:dyDescent="0.25">
      <c r="A162" t="s">
        <v>254</v>
      </c>
      <c r="B162" s="1">
        <v>0.61436662037037038</v>
      </c>
      <c r="C162" t="s">
        <v>14</v>
      </c>
      <c r="D162" t="s">
        <v>10</v>
      </c>
      <c r="E162" t="s">
        <v>255</v>
      </c>
      <c r="F162">
        <v>33.799999999999997</v>
      </c>
      <c r="G162" t="s">
        <v>25</v>
      </c>
      <c r="H162" s="2">
        <v>45374</v>
      </c>
    </row>
    <row r="163" spans="1:8" x14ac:dyDescent="0.25">
      <c r="A163" t="s">
        <v>256</v>
      </c>
      <c r="B163" s="1">
        <v>0.65785951388888886</v>
      </c>
      <c r="C163" t="s">
        <v>14</v>
      </c>
      <c r="D163" t="s">
        <v>10</v>
      </c>
      <c r="E163" t="s">
        <v>257</v>
      </c>
      <c r="F163">
        <v>38.700000000000003</v>
      </c>
      <c r="G163" t="s">
        <v>12</v>
      </c>
      <c r="H163" s="2">
        <v>45374</v>
      </c>
    </row>
    <row r="164" spans="1:8" x14ac:dyDescent="0.25">
      <c r="A164" t="s">
        <v>258</v>
      </c>
      <c r="B164" s="1">
        <v>0.65941913194444446</v>
      </c>
      <c r="C164" t="s">
        <v>14</v>
      </c>
      <c r="D164" t="s">
        <v>10</v>
      </c>
      <c r="E164" t="s">
        <v>257</v>
      </c>
      <c r="F164">
        <v>33.799999999999997</v>
      </c>
      <c r="G164" t="s">
        <v>25</v>
      </c>
      <c r="H164" s="2">
        <v>45374</v>
      </c>
    </row>
    <row r="165" spans="1:8" x14ac:dyDescent="0.25">
      <c r="A165" t="s">
        <v>259</v>
      </c>
      <c r="B165" s="1">
        <v>0.66734243055555553</v>
      </c>
      <c r="C165" t="s">
        <v>14</v>
      </c>
      <c r="D165" t="s">
        <v>10</v>
      </c>
      <c r="E165" t="s">
        <v>35</v>
      </c>
      <c r="F165">
        <v>28.9</v>
      </c>
      <c r="G165" t="s">
        <v>54</v>
      </c>
      <c r="H165" s="2">
        <v>45374</v>
      </c>
    </row>
    <row r="166" spans="1:8" x14ac:dyDescent="0.25">
      <c r="A166" t="s">
        <v>260</v>
      </c>
      <c r="B166" s="1">
        <v>0.41939820601851852</v>
      </c>
      <c r="C166" t="s">
        <v>9</v>
      </c>
      <c r="D166" t="s">
        <v>39</v>
      </c>
      <c r="E166" t="s">
        <v>39</v>
      </c>
      <c r="F166">
        <v>40</v>
      </c>
      <c r="G166" t="s">
        <v>12</v>
      </c>
      <c r="H166" s="2">
        <v>45375</v>
      </c>
    </row>
    <row r="167" spans="1:8" x14ac:dyDescent="0.25">
      <c r="A167" t="s">
        <v>261</v>
      </c>
      <c r="B167" s="1">
        <v>0.78134718749999998</v>
      </c>
      <c r="C167" t="s">
        <v>14</v>
      </c>
      <c r="D167" t="s">
        <v>10</v>
      </c>
      <c r="E167" t="s">
        <v>262</v>
      </c>
      <c r="F167">
        <v>38.700000000000003</v>
      </c>
      <c r="G167" t="s">
        <v>12</v>
      </c>
      <c r="H167" s="2">
        <v>45375</v>
      </c>
    </row>
    <row r="168" spans="1:8" x14ac:dyDescent="0.25">
      <c r="A168" t="s">
        <v>263</v>
      </c>
      <c r="B168" s="1">
        <v>0.43874131944444444</v>
      </c>
      <c r="C168" t="s">
        <v>9</v>
      </c>
      <c r="D168" t="s">
        <v>10</v>
      </c>
      <c r="E168" t="s">
        <v>35</v>
      </c>
      <c r="F168">
        <v>38.700000000000003</v>
      </c>
      <c r="G168" t="s">
        <v>12</v>
      </c>
      <c r="H168" s="2">
        <v>45376</v>
      </c>
    </row>
    <row r="169" spans="1:8" x14ac:dyDescent="0.25">
      <c r="A169" t="s">
        <v>264</v>
      </c>
      <c r="B169" s="1">
        <v>0.46974156249999999</v>
      </c>
      <c r="C169" t="s">
        <v>9</v>
      </c>
      <c r="D169" t="s">
        <v>39</v>
      </c>
      <c r="E169" t="s">
        <v>39</v>
      </c>
      <c r="F169">
        <v>35</v>
      </c>
      <c r="G169" t="s">
        <v>25</v>
      </c>
      <c r="H169" s="2">
        <v>45376</v>
      </c>
    </row>
    <row r="170" spans="1:8" x14ac:dyDescent="0.25">
      <c r="A170" t="s">
        <v>265</v>
      </c>
      <c r="B170" s="1">
        <v>0.60218938657407406</v>
      </c>
      <c r="C170" t="s">
        <v>14</v>
      </c>
      <c r="D170" t="s">
        <v>10</v>
      </c>
      <c r="E170" t="s">
        <v>266</v>
      </c>
      <c r="F170">
        <v>38.700000000000003</v>
      </c>
      <c r="G170" t="s">
        <v>12</v>
      </c>
      <c r="H170" s="2">
        <v>45376</v>
      </c>
    </row>
    <row r="171" spans="1:8" x14ac:dyDescent="0.25">
      <c r="A171" t="s">
        <v>267</v>
      </c>
      <c r="B171" s="1">
        <v>0.60376554398148152</v>
      </c>
      <c r="C171" t="s">
        <v>14</v>
      </c>
      <c r="D171" t="s">
        <v>10</v>
      </c>
      <c r="E171" t="s">
        <v>57</v>
      </c>
      <c r="F171">
        <v>38.700000000000003</v>
      </c>
      <c r="G171" t="s">
        <v>12</v>
      </c>
      <c r="H171" s="2">
        <v>45376</v>
      </c>
    </row>
    <row r="172" spans="1:8" x14ac:dyDescent="0.25">
      <c r="A172" t="s">
        <v>268</v>
      </c>
      <c r="B172" s="1">
        <v>0.77604918981481485</v>
      </c>
      <c r="C172" t="s">
        <v>14</v>
      </c>
      <c r="D172" t="s">
        <v>10</v>
      </c>
      <c r="E172" t="s">
        <v>77</v>
      </c>
      <c r="F172">
        <v>33.799999999999997</v>
      </c>
      <c r="G172" t="s">
        <v>25</v>
      </c>
      <c r="H172" s="2">
        <v>45376</v>
      </c>
    </row>
    <row r="173" spans="1:8" x14ac:dyDescent="0.25">
      <c r="A173" t="s">
        <v>269</v>
      </c>
      <c r="B173" s="1">
        <v>0.81556182870370375</v>
      </c>
      <c r="C173" t="s">
        <v>14</v>
      </c>
      <c r="D173" t="s">
        <v>10</v>
      </c>
      <c r="E173" t="s">
        <v>270</v>
      </c>
      <c r="F173">
        <v>38.700000000000003</v>
      </c>
      <c r="G173" t="s">
        <v>93</v>
      </c>
      <c r="H173" s="2">
        <v>45376</v>
      </c>
    </row>
    <row r="174" spans="1:8" x14ac:dyDescent="0.25">
      <c r="A174" t="s">
        <v>271</v>
      </c>
      <c r="B174" s="1">
        <v>0.44154721064814817</v>
      </c>
      <c r="C174" t="s">
        <v>9</v>
      </c>
      <c r="D174" t="s">
        <v>10</v>
      </c>
      <c r="E174" t="s">
        <v>181</v>
      </c>
      <c r="F174">
        <v>38.700000000000003</v>
      </c>
      <c r="G174" t="s">
        <v>32</v>
      </c>
      <c r="H174" s="2">
        <v>45377</v>
      </c>
    </row>
    <row r="175" spans="1:8" x14ac:dyDescent="0.25">
      <c r="A175" t="s">
        <v>272</v>
      </c>
      <c r="B175" s="1">
        <v>0.44208508101851851</v>
      </c>
      <c r="C175" t="s">
        <v>9</v>
      </c>
      <c r="D175" t="s">
        <v>10</v>
      </c>
      <c r="E175" t="s">
        <v>181</v>
      </c>
      <c r="F175">
        <v>38.700000000000003</v>
      </c>
      <c r="G175" t="s">
        <v>12</v>
      </c>
      <c r="H175" s="2">
        <v>45377</v>
      </c>
    </row>
    <row r="176" spans="1:8" x14ac:dyDescent="0.25">
      <c r="A176" t="s">
        <v>273</v>
      </c>
      <c r="B176" s="1">
        <v>0.44618252314814816</v>
      </c>
      <c r="C176" t="s">
        <v>9</v>
      </c>
      <c r="D176" t="s">
        <v>10</v>
      </c>
      <c r="E176" t="s">
        <v>274</v>
      </c>
      <c r="F176">
        <v>38.700000000000003</v>
      </c>
      <c r="G176" t="s">
        <v>12</v>
      </c>
      <c r="H176" s="2">
        <v>45377</v>
      </c>
    </row>
    <row r="177" spans="1:8" x14ac:dyDescent="0.25">
      <c r="A177" t="s">
        <v>275</v>
      </c>
      <c r="B177" s="1">
        <v>0.4665200810185185</v>
      </c>
      <c r="C177" t="s">
        <v>9</v>
      </c>
      <c r="D177" t="s">
        <v>10</v>
      </c>
      <c r="E177" t="s">
        <v>35</v>
      </c>
      <c r="F177">
        <v>28.9</v>
      </c>
      <c r="G177" t="s">
        <v>54</v>
      </c>
      <c r="H177" s="2">
        <v>45377</v>
      </c>
    </row>
    <row r="178" spans="1:8" x14ac:dyDescent="0.25">
      <c r="A178" t="s">
        <v>276</v>
      </c>
      <c r="B178" s="1">
        <v>0.56658302083333334</v>
      </c>
      <c r="C178" t="s">
        <v>14</v>
      </c>
      <c r="D178" t="s">
        <v>10</v>
      </c>
      <c r="E178" t="s">
        <v>19</v>
      </c>
      <c r="F178">
        <v>28.9</v>
      </c>
      <c r="G178" t="s">
        <v>20</v>
      </c>
      <c r="H178" s="2">
        <v>45377</v>
      </c>
    </row>
    <row r="179" spans="1:8" x14ac:dyDescent="0.25">
      <c r="A179" t="s">
        <v>277</v>
      </c>
      <c r="B179" s="1">
        <v>0.56724125000000003</v>
      </c>
      <c r="C179" t="s">
        <v>14</v>
      </c>
      <c r="D179" t="s">
        <v>10</v>
      </c>
      <c r="E179" t="s">
        <v>102</v>
      </c>
      <c r="F179">
        <v>28.9</v>
      </c>
      <c r="G179" t="s">
        <v>54</v>
      </c>
      <c r="H179" s="2">
        <v>45377</v>
      </c>
    </row>
    <row r="180" spans="1:8" x14ac:dyDescent="0.25">
      <c r="A180" t="s">
        <v>278</v>
      </c>
      <c r="B180" s="1">
        <v>0.56805234953703698</v>
      </c>
      <c r="C180" t="s">
        <v>14</v>
      </c>
      <c r="D180" t="s">
        <v>10</v>
      </c>
      <c r="E180" t="s">
        <v>192</v>
      </c>
      <c r="F180">
        <v>28.9</v>
      </c>
      <c r="G180" t="s">
        <v>54</v>
      </c>
      <c r="H180" s="2">
        <v>45377</v>
      </c>
    </row>
    <row r="181" spans="1:8" x14ac:dyDescent="0.25">
      <c r="A181" t="s">
        <v>279</v>
      </c>
      <c r="B181" s="1">
        <v>0.58187126157407409</v>
      </c>
      <c r="C181" t="s">
        <v>14</v>
      </c>
      <c r="D181" t="s">
        <v>10</v>
      </c>
      <c r="E181" t="s">
        <v>165</v>
      </c>
      <c r="F181">
        <v>28.9</v>
      </c>
      <c r="G181" t="s">
        <v>20</v>
      </c>
      <c r="H181" s="2">
        <v>45377</v>
      </c>
    </row>
    <row r="182" spans="1:8" x14ac:dyDescent="0.25">
      <c r="A182" t="s">
        <v>280</v>
      </c>
      <c r="B182" s="1">
        <v>0.65835960648148151</v>
      </c>
      <c r="C182" t="s">
        <v>14</v>
      </c>
      <c r="D182" t="s">
        <v>10</v>
      </c>
      <c r="E182" t="s">
        <v>281</v>
      </c>
      <c r="F182">
        <v>38.700000000000003</v>
      </c>
      <c r="G182" t="s">
        <v>12</v>
      </c>
      <c r="H182" s="2">
        <v>45377</v>
      </c>
    </row>
    <row r="183" spans="1:8" x14ac:dyDescent="0.25">
      <c r="A183" t="s">
        <v>282</v>
      </c>
      <c r="B183" s="1">
        <v>0.77336305555555551</v>
      </c>
      <c r="C183" t="s">
        <v>14</v>
      </c>
      <c r="D183" t="s">
        <v>10</v>
      </c>
      <c r="E183" t="s">
        <v>77</v>
      </c>
      <c r="F183">
        <v>38.700000000000003</v>
      </c>
      <c r="G183" t="s">
        <v>12</v>
      </c>
      <c r="H183" s="2">
        <v>45377</v>
      </c>
    </row>
    <row r="184" spans="1:8" x14ac:dyDescent="0.25">
      <c r="A184" t="s">
        <v>283</v>
      </c>
      <c r="B184" s="1">
        <v>0.77424361111111106</v>
      </c>
      <c r="C184" t="s">
        <v>14</v>
      </c>
      <c r="D184" t="s">
        <v>10</v>
      </c>
      <c r="E184" t="s">
        <v>35</v>
      </c>
      <c r="F184">
        <v>38.700000000000003</v>
      </c>
      <c r="G184" t="s">
        <v>16</v>
      </c>
      <c r="H184" s="2">
        <v>45377</v>
      </c>
    </row>
    <row r="185" spans="1:8" x14ac:dyDescent="0.25">
      <c r="A185" t="s">
        <v>284</v>
      </c>
      <c r="B185" s="1">
        <v>0.46170340277777777</v>
      </c>
      <c r="C185" t="s">
        <v>9</v>
      </c>
      <c r="D185" t="s">
        <v>10</v>
      </c>
      <c r="E185" t="s">
        <v>19</v>
      </c>
      <c r="F185">
        <v>28.9</v>
      </c>
      <c r="G185" t="s">
        <v>54</v>
      </c>
      <c r="H185" s="2">
        <v>45378</v>
      </c>
    </row>
    <row r="186" spans="1:8" x14ac:dyDescent="0.25">
      <c r="A186" t="s">
        <v>285</v>
      </c>
      <c r="B186" s="1">
        <v>0.46247958333333333</v>
      </c>
      <c r="C186" t="s">
        <v>9</v>
      </c>
      <c r="D186" t="s">
        <v>10</v>
      </c>
      <c r="E186" t="s">
        <v>19</v>
      </c>
      <c r="F186">
        <v>33.799999999999997</v>
      </c>
      <c r="G186" t="s">
        <v>25</v>
      </c>
      <c r="H186" s="2">
        <v>45378</v>
      </c>
    </row>
    <row r="187" spans="1:8" x14ac:dyDescent="0.25">
      <c r="A187" t="s">
        <v>286</v>
      </c>
      <c r="B187" s="1">
        <v>0.53958868055555553</v>
      </c>
      <c r="C187" t="s">
        <v>14</v>
      </c>
      <c r="D187" t="s">
        <v>10</v>
      </c>
      <c r="E187" t="s">
        <v>287</v>
      </c>
      <c r="F187">
        <v>33.799999999999997</v>
      </c>
      <c r="G187" t="s">
        <v>25</v>
      </c>
      <c r="H187" s="2">
        <v>45378</v>
      </c>
    </row>
    <row r="188" spans="1:8" x14ac:dyDescent="0.25">
      <c r="A188" t="s">
        <v>288</v>
      </c>
      <c r="B188" s="1">
        <v>0.56620415509259259</v>
      </c>
      <c r="C188" t="s">
        <v>14</v>
      </c>
      <c r="D188" t="s">
        <v>10</v>
      </c>
      <c r="E188" t="s">
        <v>289</v>
      </c>
      <c r="F188">
        <v>38.700000000000003</v>
      </c>
      <c r="G188" t="s">
        <v>16</v>
      </c>
      <c r="H188" s="2">
        <v>45378</v>
      </c>
    </row>
    <row r="189" spans="1:8" x14ac:dyDescent="0.25">
      <c r="A189" t="s">
        <v>290</v>
      </c>
      <c r="B189" s="1">
        <v>0.59897756944444447</v>
      </c>
      <c r="C189" t="s">
        <v>14</v>
      </c>
      <c r="D189" t="s">
        <v>10</v>
      </c>
      <c r="E189" t="s">
        <v>43</v>
      </c>
      <c r="F189">
        <v>38.700000000000003</v>
      </c>
      <c r="G189" t="s">
        <v>93</v>
      </c>
      <c r="H189" s="2">
        <v>45378</v>
      </c>
    </row>
    <row r="190" spans="1:8" x14ac:dyDescent="0.25">
      <c r="A190" t="s">
        <v>291</v>
      </c>
      <c r="B190" s="1">
        <v>0.59971504629629635</v>
      </c>
      <c r="C190" t="s">
        <v>14</v>
      </c>
      <c r="D190" t="s">
        <v>10</v>
      </c>
      <c r="E190" t="s">
        <v>43</v>
      </c>
      <c r="F190">
        <v>28.9</v>
      </c>
      <c r="G190" t="s">
        <v>20</v>
      </c>
      <c r="H190" s="2">
        <v>45378</v>
      </c>
    </row>
    <row r="191" spans="1:8" x14ac:dyDescent="0.25">
      <c r="A191" t="s">
        <v>292</v>
      </c>
      <c r="B191" s="1">
        <v>0.77097028935185186</v>
      </c>
      <c r="C191" t="s">
        <v>14</v>
      </c>
      <c r="D191" t="s">
        <v>10</v>
      </c>
      <c r="E191" t="s">
        <v>293</v>
      </c>
      <c r="F191">
        <v>28.9</v>
      </c>
      <c r="G191" t="s">
        <v>54</v>
      </c>
      <c r="H191" s="2">
        <v>45378</v>
      </c>
    </row>
    <row r="192" spans="1:8" x14ac:dyDescent="0.25">
      <c r="A192" t="s">
        <v>294</v>
      </c>
      <c r="B192" s="1">
        <v>0.81333844907407404</v>
      </c>
      <c r="C192" t="s">
        <v>14</v>
      </c>
      <c r="D192" t="s">
        <v>39</v>
      </c>
      <c r="E192" t="s">
        <v>39</v>
      </c>
      <c r="F192">
        <v>40</v>
      </c>
      <c r="G192" t="s">
        <v>12</v>
      </c>
      <c r="H192" s="2">
        <v>45378</v>
      </c>
    </row>
    <row r="193" spans="1:8" x14ac:dyDescent="0.25">
      <c r="A193" t="s">
        <v>295</v>
      </c>
      <c r="B193" s="1">
        <v>0.60054504629629635</v>
      </c>
      <c r="C193" t="s">
        <v>14</v>
      </c>
      <c r="D193" t="s">
        <v>10</v>
      </c>
      <c r="E193" t="s">
        <v>296</v>
      </c>
      <c r="F193">
        <v>28.9</v>
      </c>
      <c r="G193" t="s">
        <v>54</v>
      </c>
      <c r="H193" s="2">
        <v>45379</v>
      </c>
    </row>
    <row r="194" spans="1:8" x14ac:dyDescent="0.25">
      <c r="A194" t="s">
        <v>297</v>
      </c>
      <c r="B194" s="1">
        <v>0.72553523148148147</v>
      </c>
      <c r="C194" t="s">
        <v>14</v>
      </c>
      <c r="D194" t="s">
        <v>10</v>
      </c>
      <c r="E194" t="s">
        <v>43</v>
      </c>
      <c r="F194">
        <v>28.9</v>
      </c>
      <c r="G194" t="s">
        <v>54</v>
      </c>
      <c r="H194" s="2">
        <v>45379</v>
      </c>
    </row>
    <row r="195" spans="1:8" x14ac:dyDescent="0.25">
      <c r="A195" t="s">
        <v>298</v>
      </c>
      <c r="B195" s="1">
        <v>0.72714472222222226</v>
      </c>
      <c r="C195" t="s">
        <v>14</v>
      </c>
      <c r="D195" t="s">
        <v>10</v>
      </c>
      <c r="E195" t="s">
        <v>43</v>
      </c>
      <c r="F195">
        <v>28.9</v>
      </c>
      <c r="G195" t="s">
        <v>20</v>
      </c>
      <c r="H195" s="2">
        <v>45379</v>
      </c>
    </row>
    <row r="196" spans="1:8" x14ac:dyDescent="0.25">
      <c r="A196" t="s">
        <v>299</v>
      </c>
      <c r="B196" s="1">
        <v>0.73107236111111107</v>
      </c>
      <c r="C196" t="s">
        <v>14</v>
      </c>
      <c r="D196" t="s">
        <v>10</v>
      </c>
      <c r="E196" t="s">
        <v>300</v>
      </c>
      <c r="F196">
        <v>38.700000000000003</v>
      </c>
      <c r="G196" t="s">
        <v>12</v>
      </c>
      <c r="H196" s="2">
        <v>45379</v>
      </c>
    </row>
    <row r="197" spans="1:8" x14ac:dyDescent="0.25">
      <c r="A197" t="s">
        <v>301</v>
      </c>
      <c r="B197" s="1">
        <v>0.45578119212962964</v>
      </c>
      <c r="C197" t="s">
        <v>9</v>
      </c>
      <c r="D197" t="s">
        <v>10</v>
      </c>
      <c r="E197" t="s">
        <v>302</v>
      </c>
      <c r="F197">
        <v>38.700000000000003</v>
      </c>
      <c r="G197" t="s">
        <v>12</v>
      </c>
      <c r="H197" s="2">
        <v>45380</v>
      </c>
    </row>
    <row r="198" spans="1:8" x14ac:dyDescent="0.25">
      <c r="A198" t="s">
        <v>303</v>
      </c>
      <c r="B198" s="1">
        <v>0.5238123032407408</v>
      </c>
      <c r="C198" t="s">
        <v>14</v>
      </c>
      <c r="D198" t="s">
        <v>10</v>
      </c>
      <c r="E198" t="s">
        <v>304</v>
      </c>
      <c r="F198">
        <v>38.700000000000003</v>
      </c>
      <c r="G198" t="s">
        <v>93</v>
      </c>
      <c r="H198" s="2">
        <v>45380</v>
      </c>
    </row>
    <row r="199" spans="1:8" x14ac:dyDescent="0.25">
      <c r="A199" t="s">
        <v>305</v>
      </c>
      <c r="B199" s="1">
        <v>0.52884403935185187</v>
      </c>
      <c r="C199" t="s">
        <v>14</v>
      </c>
      <c r="D199" t="s">
        <v>10</v>
      </c>
      <c r="E199" t="s">
        <v>304</v>
      </c>
      <c r="F199">
        <v>38.700000000000003</v>
      </c>
      <c r="G199" t="s">
        <v>93</v>
      </c>
      <c r="H199" s="2">
        <v>45380</v>
      </c>
    </row>
    <row r="200" spans="1:8" x14ac:dyDescent="0.25">
      <c r="A200" t="s">
        <v>306</v>
      </c>
      <c r="B200" s="1">
        <v>0.55746085648148147</v>
      </c>
      <c r="C200" t="s">
        <v>14</v>
      </c>
      <c r="D200" t="s">
        <v>39</v>
      </c>
      <c r="E200" t="s">
        <v>39</v>
      </c>
      <c r="F200">
        <v>40</v>
      </c>
      <c r="G200" t="s">
        <v>93</v>
      </c>
      <c r="H200" s="2">
        <v>45380</v>
      </c>
    </row>
    <row r="201" spans="1:8" x14ac:dyDescent="0.25">
      <c r="A201" t="s">
        <v>307</v>
      </c>
      <c r="B201" s="1">
        <v>0.4995353472222222</v>
      </c>
      <c r="C201" t="s">
        <v>9</v>
      </c>
      <c r="D201" t="s">
        <v>10</v>
      </c>
      <c r="E201" t="s">
        <v>238</v>
      </c>
      <c r="F201">
        <v>38.700000000000003</v>
      </c>
      <c r="G201" t="s">
        <v>12</v>
      </c>
      <c r="H201" s="2">
        <v>45381</v>
      </c>
    </row>
    <row r="202" spans="1:8" x14ac:dyDescent="0.25">
      <c r="A202" t="s">
        <v>308</v>
      </c>
      <c r="B202" s="1">
        <v>0.57599322916666662</v>
      </c>
      <c r="C202" t="s">
        <v>14</v>
      </c>
      <c r="D202" t="s">
        <v>39</v>
      </c>
      <c r="E202" t="s">
        <v>39</v>
      </c>
      <c r="F202">
        <v>40</v>
      </c>
      <c r="G202" t="s">
        <v>93</v>
      </c>
      <c r="H202" s="2">
        <v>45381</v>
      </c>
    </row>
    <row r="203" spans="1:8" x14ac:dyDescent="0.25">
      <c r="A203" t="s">
        <v>309</v>
      </c>
      <c r="B203" s="1">
        <v>0.67536789351851856</v>
      </c>
      <c r="C203" t="s">
        <v>14</v>
      </c>
      <c r="D203" t="s">
        <v>10</v>
      </c>
      <c r="E203" t="s">
        <v>57</v>
      </c>
      <c r="F203">
        <v>38.700000000000003</v>
      </c>
      <c r="G203" t="s">
        <v>12</v>
      </c>
      <c r="H203" s="2">
        <v>45381</v>
      </c>
    </row>
    <row r="204" spans="1:8" x14ac:dyDescent="0.25">
      <c r="A204" t="s">
        <v>310</v>
      </c>
      <c r="B204" s="1">
        <v>0.69213556712962965</v>
      </c>
      <c r="C204" t="s">
        <v>14</v>
      </c>
      <c r="D204" t="s">
        <v>10</v>
      </c>
      <c r="E204" t="s">
        <v>35</v>
      </c>
      <c r="F204">
        <v>38.700000000000003</v>
      </c>
      <c r="G204" t="s">
        <v>12</v>
      </c>
      <c r="H204" s="2">
        <v>45381</v>
      </c>
    </row>
    <row r="205" spans="1:8" x14ac:dyDescent="0.25">
      <c r="A205" t="s">
        <v>311</v>
      </c>
      <c r="B205" s="1">
        <v>0.69302723379629627</v>
      </c>
      <c r="C205" t="s">
        <v>14</v>
      </c>
      <c r="D205" t="s">
        <v>10</v>
      </c>
      <c r="E205" t="s">
        <v>35</v>
      </c>
      <c r="F205">
        <v>33.799999999999997</v>
      </c>
      <c r="G205" t="s">
        <v>25</v>
      </c>
      <c r="H205" s="2">
        <v>45381</v>
      </c>
    </row>
    <row r="206" spans="1:8" x14ac:dyDescent="0.25">
      <c r="A206" t="s">
        <v>312</v>
      </c>
      <c r="B206" s="1">
        <v>0.44449679398148151</v>
      </c>
      <c r="C206" t="s">
        <v>9</v>
      </c>
      <c r="D206" t="s">
        <v>10</v>
      </c>
      <c r="E206" t="s">
        <v>313</v>
      </c>
      <c r="F206">
        <v>38.700000000000003</v>
      </c>
      <c r="G206" t="s">
        <v>93</v>
      </c>
      <c r="H206" s="2">
        <v>45382</v>
      </c>
    </row>
    <row r="207" spans="1:8" x14ac:dyDescent="0.25">
      <c r="A207" t="s">
        <v>314</v>
      </c>
      <c r="B207" s="1">
        <v>0.81718749999999996</v>
      </c>
      <c r="C207" t="s">
        <v>14</v>
      </c>
      <c r="D207" t="s">
        <v>39</v>
      </c>
      <c r="E207" t="s">
        <v>39</v>
      </c>
      <c r="F207">
        <v>30</v>
      </c>
      <c r="G207" t="s">
        <v>20</v>
      </c>
      <c r="H207" s="2">
        <v>45382</v>
      </c>
    </row>
    <row r="208" spans="1:8" x14ac:dyDescent="0.25">
      <c r="A208" t="s">
        <v>315</v>
      </c>
      <c r="B208" s="1">
        <v>0.43666204861111113</v>
      </c>
      <c r="C208" t="s">
        <v>9</v>
      </c>
      <c r="D208" t="s">
        <v>10</v>
      </c>
      <c r="E208" t="s">
        <v>22</v>
      </c>
      <c r="F208">
        <v>28.9</v>
      </c>
      <c r="G208" t="s">
        <v>20</v>
      </c>
      <c r="H208" s="2">
        <v>45383</v>
      </c>
    </row>
    <row r="209" spans="1:8" x14ac:dyDescent="0.25">
      <c r="A209" t="s">
        <v>316</v>
      </c>
      <c r="B209" s="1">
        <v>0.43729534722222224</v>
      </c>
      <c r="C209" t="s">
        <v>9</v>
      </c>
      <c r="D209" t="s">
        <v>10</v>
      </c>
      <c r="E209" t="s">
        <v>22</v>
      </c>
      <c r="F209">
        <v>33.799999999999997</v>
      </c>
      <c r="G209" t="s">
        <v>25</v>
      </c>
      <c r="H209" s="2">
        <v>45383</v>
      </c>
    </row>
    <row r="210" spans="1:8" x14ac:dyDescent="0.25">
      <c r="A210" t="s">
        <v>317</v>
      </c>
      <c r="B210" s="1">
        <v>0.43800619212962966</v>
      </c>
      <c r="C210" t="s">
        <v>9</v>
      </c>
      <c r="D210" t="s">
        <v>10</v>
      </c>
      <c r="E210" t="s">
        <v>22</v>
      </c>
      <c r="F210">
        <v>33.799999999999997</v>
      </c>
      <c r="G210" t="s">
        <v>25</v>
      </c>
      <c r="H210" s="2">
        <v>45383</v>
      </c>
    </row>
    <row r="211" spans="1:8" x14ac:dyDescent="0.25">
      <c r="A211" t="s">
        <v>318</v>
      </c>
      <c r="B211" s="1">
        <v>0.4692573611111111</v>
      </c>
      <c r="C211" t="s">
        <v>9</v>
      </c>
      <c r="D211" t="s">
        <v>10</v>
      </c>
      <c r="E211" t="s">
        <v>35</v>
      </c>
      <c r="F211">
        <v>33.799999999999997</v>
      </c>
      <c r="G211" t="s">
        <v>25</v>
      </c>
      <c r="H211" s="2">
        <v>45383</v>
      </c>
    </row>
    <row r="212" spans="1:8" x14ac:dyDescent="0.25">
      <c r="A212" t="s">
        <v>319</v>
      </c>
      <c r="B212" s="1">
        <v>0.70952458333333335</v>
      </c>
      <c r="C212" t="s">
        <v>14</v>
      </c>
      <c r="D212" t="s">
        <v>39</v>
      </c>
      <c r="E212" t="s">
        <v>39</v>
      </c>
      <c r="F212">
        <v>40</v>
      </c>
      <c r="G212" t="s">
        <v>93</v>
      </c>
      <c r="H212" s="2">
        <v>45383</v>
      </c>
    </row>
    <row r="213" spans="1:8" x14ac:dyDescent="0.25">
      <c r="A213" t="s">
        <v>320</v>
      </c>
      <c r="B213" s="1">
        <v>0.76299041666666667</v>
      </c>
      <c r="C213" t="s">
        <v>14</v>
      </c>
      <c r="D213" t="s">
        <v>10</v>
      </c>
      <c r="E213" t="s">
        <v>77</v>
      </c>
      <c r="F213">
        <v>33.799999999999997</v>
      </c>
      <c r="G213" t="s">
        <v>25</v>
      </c>
      <c r="H213" s="2">
        <v>45383</v>
      </c>
    </row>
    <row r="214" spans="1:8" x14ac:dyDescent="0.25">
      <c r="A214" t="s">
        <v>321</v>
      </c>
      <c r="B214" s="1">
        <v>0.78156754629629632</v>
      </c>
      <c r="C214" t="s">
        <v>14</v>
      </c>
      <c r="D214" t="s">
        <v>10</v>
      </c>
      <c r="E214" t="s">
        <v>322</v>
      </c>
      <c r="F214">
        <v>38.700000000000003</v>
      </c>
      <c r="G214" t="s">
        <v>16</v>
      </c>
      <c r="H214" s="2">
        <v>45383</v>
      </c>
    </row>
    <row r="215" spans="1:8" x14ac:dyDescent="0.25">
      <c r="A215" t="s">
        <v>323</v>
      </c>
      <c r="B215" s="1">
        <v>0.41752340277777777</v>
      </c>
      <c r="C215" t="s">
        <v>9</v>
      </c>
      <c r="D215" t="s">
        <v>10</v>
      </c>
      <c r="E215" t="s">
        <v>11</v>
      </c>
      <c r="F215">
        <v>38.700000000000003</v>
      </c>
      <c r="G215" t="s">
        <v>12</v>
      </c>
      <c r="H215" s="2">
        <v>45384</v>
      </c>
    </row>
    <row r="216" spans="1:8" x14ac:dyDescent="0.25">
      <c r="A216" t="s">
        <v>324</v>
      </c>
      <c r="B216" s="1">
        <v>0.67956214120370373</v>
      </c>
      <c r="C216" t="s">
        <v>14</v>
      </c>
      <c r="D216" t="s">
        <v>10</v>
      </c>
      <c r="E216" t="s">
        <v>19</v>
      </c>
      <c r="F216">
        <v>28.9</v>
      </c>
      <c r="G216" t="s">
        <v>20</v>
      </c>
      <c r="H216" s="2">
        <v>45384</v>
      </c>
    </row>
    <row r="217" spans="1:8" x14ac:dyDescent="0.25">
      <c r="A217" t="s">
        <v>325</v>
      </c>
      <c r="B217" s="1">
        <v>0.68019050925925928</v>
      </c>
      <c r="C217" t="s">
        <v>14</v>
      </c>
      <c r="D217" t="s">
        <v>10</v>
      </c>
      <c r="E217" t="s">
        <v>19</v>
      </c>
      <c r="F217">
        <v>28.9</v>
      </c>
      <c r="G217" t="s">
        <v>54</v>
      </c>
      <c r="H217" s="2">
        <v>45384</v>
      </c>
    </row>
    <row r="218" spans="1:8" x14ac:dyDescent="0.25">
      <c r="A218" t="s">
        <v>326</v>
      </c>
      <c r="B218" s="1">
        <v>0.83300858796296295</v>
      </c>
      <c r="C218" t="s">
        <v>14</v>
      </c>
      <c r="D218" t="s">
        <v>39</v>
      </c>
      <c r="E218" t="s">
        <v>39</v>
      </c>
      <c r="F218">
        <v>40</v>
      </c>
      <c r="G218" t="s">
        <v>93</v>
      </c>
      <c r="H218" s="2">
        <v>45384</v>
      </c>
    </row>
    <row r="219" spans="1:8" x14ac:dyDescent="0.25">
      <c r="A219" t="s">
        <v>327</v>
      </c>
      <c r="B219" s="1">
        <v>0.43001902777777778</v>
      </c>
      <c r="C219" t="s">
        <v>9</v>
      </c>
      <c r="D219" t="s">
        <v>10</v>
      </c>
      <c r="E219" t="s">
        <v>19</v>
      </c>
      <c r="F219">
        <v>28.9</v>
      </c>
      <c r="G219" t="s">
        <v>54</v>
      </c>
      <c r="H219" s="2">
        <v>45385</v>
      </c>
    </row>
    <row r="220" spans="1:8" x14ac:dyDescent="0.25">
      <c r="A220" t="s">
        <v>328</v>
      </c>
      <c r="B220" s="1">
        <v>0.43064415509259257</v>
      </c>
      <c r="C220" t="s">
        <v>9</v>
      </c>
      <c r="D220" t="s">
        <v>10</v>
      </c>
      <c r="E220" t="s">
        <v>19</v>
      </c>
      <c r="F220">
        <v>28.9</v>
      </c>
      <c r="G220" t="s">
        <v>20</v>
      </c>
      <c r="H220" s="2">
        <v>45385</v>
      </c>
    </row>
    <row r="221" spans="1:8" x14ac:dyDescent="0.25">
      <c r="A221" t="s">
        <v>329</v>
      </c>
      <c r="B221" s="1">
        <v>0.5500621180555556</v>
      </c>
      <c r="C221" t="s">
        <v>14</v>
      </c>
      <c r="D221" t="s">
        <v>10</v>
      </c>
      <c r="E221" t="s">
        <v>43</v>
      </c>
      <c r="F221">
        <v>38.700000000000003</v>
      </c>
      <c r="G221" t="s">
        <v>93</v>
      </c>
      <c r="H221" s="2">
        <v>45385</v>
      </c>
    </row>
    <row r="222" spans="1:8" x14ac:dyDescent="0.25">
      <c r="A222" t="s">
        <v>330</v>
      </c>
      <c r="B222" s="1">
        <v>0.65013582175925921</v>
      </c>
      <c r="C222" t="s">
        <v>14</v>
      </c>
      <c r="D222" t="s">
        <v>39</v>
      </c>
      <c r="E222" t="s">
        <v>39</v>
      </c>
      <c r="F222">
        <v>30</v>
      </c>
      <c r="G222" t="s">
        <v>54</v>
      </c>
      <c r="H222" s="2">
        <v>45385</v>
      </c>
    </row>
    <row r="223" spans="1:8" x14ac:dyDescent="0.25">
      <c r="A223" t="s">
        <v>331</v>
      </c>
      <c r="B223" s="1">
        <v>0.44787023148148147</v>
      </c>
      <c r="C223" t="s">
        <v>9</v>
      </c>
      <c r="D223" t="s">
        <v>10</v>
      </c>
      <c r="E223" t="s">
        <v>332</v>
      </c>
      <c r="F223">
        <v>38.700000000000003</v>
      </c>
      <c r="G223" t="s">
        <v>12</v>
      </c>
      <c r="H223" s="2">
        <v>45386</v>
      </c>
    </row>
    <row r="224" spans="1:8" x14ac:dyDescent="0.25">
      <c r="A224" t="s">
        <v>333</v>
      </c>
      <c r="B224" s="1">
        <v>0.47682968749999999</v>
      </c>
      <c r="C224" t="s">
        <v>9</v>
      </c>
      <c r="D224" t="s">
        <v>10</v>
      </c>
      <c r="E224" t="s">
        <v>334</v>
      </c>
      <c r="F224">
        <v>38.700000000000003</v>
      </c>
      <c r="G224" t="s">
        <v>12</v>
      </c>
      <c r="H224" s="2">
        <v>45386</v>
      </c>
    </row>
    <row r="225" spans="1:8" x14ac:dyDescent="0.25">
      <c r="A225" t="s">
        <v>335</v>
      </c>
      <c r="B225" s="1">
        <v>0.47764364583333335</v>
      </c>
      <c r="C225" t="s">
        <v>9</v>
      </c>
      <c r="D225" t="s">
        <v>10</v>
      </c>
      <c r="E225" t="s">
        <v>336</v>
      </c>
      <c r="F225">
        <v>38.700000000000003</v>
      </c>
      <c r="G225" t="s">
        <v>93</v>
      </c>
      <c r="H225" s="2">
        <v>45386</v>
      </c>
    </row>
    <row r="226" spans="1:8" x14ac:dyDescent="0.25">
      <c r="A226" t="s">
        <v>337</v>
      </c>
      <c r="B226" s="1">
        <v>0.51599787037037037</v>
      </c>
      <c r="C226" t="s">
        <v>14</v>
      </c>
      <c r="D226" t="s">
        <v>10</v>
      </c>
      <c r="E226" t="s">
        <v>338</v>
      </c>
      <c r="F226">
        <v>28.9</v>
      </c>
      <c r="G226" t="s">
        <v>54</v>
      </c>
      <c r="H226" s="2">
        <v>45386</v>
      </c>
    </row>
    <row r="227" spans="1:8" x14ac:dyDescent="0.25">
      <c r="A227" t="s">
        <v>339</v>
      </c>
      <c r="B227" s="1">
        <v>0.82092291666666661</v>
      </c>
      <c r="C227" t="s">
        <v>14</v>
      </c>
      <c r="D227" t="s">
        <v>39</v>
      </c>
      <c r="E227" t="s">
        <v>39</v>
      </c>
      <c r="F227">
        <v>40</v>
      </c>
      <c r="G227" t="s">
        <v>12</v>
      </c>
      <c r="H227" s="2">
        <v>45386</v>
      </c>
    </row>
    <row r="228" spans="1:8" x14ac:dyDescent="0.25">
      <c r="A228" t="s">
        <v>340</v>
      </c>
      <c r="B228" s="1">
        <v>0.44493898148148148</v>
      </c>
      <c r="C228" t="s">
        <v>9</v>
      </c>
      <c r="D228" t="s">
        <v>10</v>
      </c>
      <c r="E228" t="s">
        <v>341</v>
      </c>
      <c r="F228">
        <v>28.9</v>
      </c>
      <c r="G228" t="s">
        <v>20</v>
      </c>
      <c r="H228" s="2">
        <v>45387</v>
      </c>
    </row>
    <row r="229" spans="1:8" x14ac:dyDescent="0.25">
      <c r="A229" t="s">
        <v>342</v>
      </c>
      <c r="B229" s="1">
        <v>0.44590513888888889</v>
      </c>
      <c r="C229" t="s">
        <v>9</v>
      </c>
      <c r="D229" t="s">
        <v>10</v>
      </c>
      <c r="E229" t="s">
        <v>43</v>
      </c>
      <c r="F229">
        <v>28.9</v>
      </c>
      <c r="G229" t="s">
        <v>20</v>
      </c>
      <c r="H229" s="2">
        <v>45387</v>
      </c>
    </row>
    <row r="230" spans="1:8" x14ac:dyDescent="0.25">
      <c r="A230" t="s">
        <v>343</v>
      </c>
      <c r="B230" s="1">
        <v>0.46266947916666668</v>
      </c>
      <c r="C230" t="s">
        <v>9</v>
      </c>
      <c r="D230" t="s">
        <v>10</v>
      </c>
      <c r="E230" t="s">
        <v>344</v>
      </c>
      <c r="F230">
        <v>28.9</v>
      </c>
      <c r="G230" t="s">
        <v>54</v>
      </c>
      <c r="H230" s="2">
        <v>45387</v>
      </c>
    </row>
    <row r="231" spans="1:8" x14ac:dyDescent="0.25">
      <c r="A231" t="s">
        <v>345</v>
      </c>
      <c r="B231" s="1">
        <v>0.51004600694444446</v>
      </c>
      <c r="C231" t="s">
        <v>14</v>
      </c>
      <c r="D231" t="s">
        <v>10</v>
      </c>
      <c r="E231" t="s">
        <v>346</v>
      </c>
      <c r="F231">
        <v>33.799999999999997</v>
      </c>
      <c r="G231" t="s">
        <v>25</v>
      </c>
      <c r="H231" s="2">
        <v>45387</v>
      </c>
    </row>
    <row r="232" spans="1:8" x14ac:dyDescent="0.25">
      <c r="A232" t="s">
        <v>347</v>
      </c>
      <c r="B232" s="1">
        <v>0.59977299768518522</v>
      </c>
      <c r="C232" t="s">
        <v>14</v>
      </c>
      <c r="D232" t="s">
        <v>10</v>
      </c>
      <c r="E232" t="s">
        <v>348</v>
      </c>
      <c r="F232">
        <v>38.700000000000003</v>
      </c>
      <c r="G232" t="s">
        <v>12</v>
      </c>
      <c r="H232" s="2">
        <v>45387</v>
      </c>
    </row>
    <row r="233" spans="1:8" x14ac:dyDescent="0.25">
      <c r="A233" t="s">
        <v>349</v>
      </c>
      <c r="B233" s="1">
        <v>0.60058353009259258</v>
      </c>
      <c r="C233" t="s">
        <v>14</v>
      </c>
      <c r="D233" t="s">
        <v>10</v>
      </c>
      <c r="E233" t="s">
        <v>348</v>
      </c>
      <c r="F233">
        <v>28.9</v>
      </c>
      <c r="G233" t="s">
        <v>54</v>
      </c>
      <c r="H233" s="2">
        <v>45387</v>
      </c>
    </row>
    <row r="234" spans="1:8" x14ac:dyDescent="0.25">
      <c r="A234" t="s">
        <v>350</v>
      </c>
      <c r="B234" s="1">
        <v>0.64641646990740742</v>
      </c>
      <c r="C234" t="s">
        <v>14</v>
      </c>
      <c r="D234" t="s">
        <v>39</v>
      </c>
      <c r="E234" t="s">
        <v>39</v>
      </c>
      <c r="F234">
        <v>40</v>
      </c>
      <c r="G234" t="s">
        <v>12</v>
      </c>
      <c r="H234" s="2">
        <v>45387</v>
      </c>
    </row>
    <row r="235" spans="1:8" x14ac:dyDescent="0.25">
      <c r="A235" t="s">
        <v>351</v>
      </c>
      <c r="B235" s="1">
        <v>0.66268249999999995</v>
      </c>
      <c r="C235" t="s">
        <v>14</v>
      </c>
      <c r="D235" t="s">
        <v>39</v>
      </c>
      <c r="E235" t="s">
        <v>39</v>
      </c>
      <c r="F235">
        <v>40</v>
      </c>
      <c r="G235" t="s">
        <v>93</v>
      </c>
      <c r="H235" s="2">
        <v>45387</v>
      </c>
    </row>
    <row r="236" spans="1:8" x14ac:dyDescent="0.25">
      <c r="A236" t="s">
        <v>352</v>
      </c>
      <c r="B236" s="1">
        <v>0.66355262731481479</v>
      </c>
      <c r="C236" t="s">
        <v>14</v>
      </c>
      <c r="D236" t="s">
        <v>39</v>
      </c>
      <c r="E236" t="s">
        <v>39</v>
      </c>
      <c r="F236">
        <v>30</v>
      </c>
      <c r="G236" t="s">
        <v>20</v>
      </c>
      <c r="H236" s="2">
        <v>45387</v>
      </c>
    </row>
    <row r="237" spans="1:8" x14ac:dyDescent="0.25">
      <c r="A237" t="s">
        <v>353</v>
      </c>
      <c r="B237" s="1">
        <v>0.6789811921296296</v>
      </c>
      <c r="C237" t="s">
        <v>14</v>
      </c>
      <c r="D237" t="s">
        <v>39</v>
      </c>
      <c r="E237" t="s">
        <v>39</v>
      </c>
      <c r="F237">
        <v>40</v>
      </c>
      <c r="G237" t="s">
        <v>32</v>
      </c>
      <c r="H237" s="2">
        <v>45387</v>
      </c>
    </row>
    <row r="238" spans="1:8" x14ac:dyDescent="0.25">
      <c r="A238" t="s">
        <v>354</v>
      </c>
      <c r="B238" s="1">
        <v>0.67943932870370372</v>
      </c>
      <c r="C238" t="s">
        <v>14</v>
      </c>
      <c r="D238" t="s">
        <v>10</v>
      </c>
      <c r="E238" t="s">
        <v>19</v>
      </c>
      <c r="F238">
        <v>24</v>
      </c>
      <c r="G238" t="s">
        <v>72</v>
      </c>
      <c r="H238" s="2">
        <v>45387</v>
      </c>
    </row>
    <row r="239" spans="1:8" x14ac:dyDescent="0.25">
      <c r="A239" t="s">
        <v>355</v>
      </c>
      <c r="B239" s="1">
        <v>0.52258562500000005</v>
      </c>
      <c r="C239" t="s">
        <v>14</v>
      </c>
      <c r="D239" t="s">
        <v>10</v>
      </c>
      <c r="E239" t="s">
        <v>356</v>
      </c>
      <c r="F239">
        <v>33.799999999999997</v>
      </c>
      <c r="G239" t="s">
        <v>25</v>
      </c>
      <c r="H239" s="2">
        <v>45388</v>
      </c>
    </row>
    <row r="240" spans="1:8" x14ac:dyDescent="0.25">
      <c r="A240" t="s">
        <v>357</v>
      </c>
      <c r="B240" s="1">
        <v>0.59257792824074074</v>
      </c>
      <c r="C240" t="s">
        <v>14</v>
      </c>
      <c r="D240" t="s">
        <v>10</v>
      </c>
      <c r="E240" t="s">
        <v>124</v>
      </c>
      <c r="F240">
        <v>38.700000000000003</v>
      </c>
      <c r="G240" t="s">
        <v>93</v>
      </c>
      <c r="H240" s="2">
        <v>45388</v>
      </c>
    </row>
    <row r="241" spans="1:8" x14ac:dyDescent="0.25">
      <c r="A241" t="s">
        <v>358</v>
      </c>
      <c r="B241" s="1">
        <v>0.59336839120370366</v>
      </c>
      <c r="C241" t="s">
        <v>14</v>
      </c>
      <c r="D241" t="s">
        <v>10</v>
      </c>
      <c r="E241" t="s">
        <v>124</v>
      </c>
      <c r="F241">
        <v>28.9</v>
      </c>
      <c r="G241" t="s">
        <v>20</v>
      </c>
      <c r="H241" s="2">
        <v>45388</v>
      </c>
    </row>
    <row r="242" spans="1:8" x14ac:dyDescent="0.25">
      <c r="A242" t="s">
        <v>359</v>
      </c>
      <c r="B242" s="1">
        <v>0.61794193287037036</v>
      </c>
      <c r="C242" t="s">
        <v>14</v>
      </c>
      <c r="D242" t="s">
        <v>10</v>
      </c>
      <c r="E242" t="s">
        <v>35</v>
      </c>
      <c r="F242">
        <v>38.700000000000003</v>
      </c>
      <c r="G242" t="s">
        <v>12</v>
      </c>
      <c r="H242" s="2">
        <v>45388</v>
      </c>
    </row>
    <row r="243" spans="1:8" x14ac:dyDescent="0.25">
      <c r="A243" t="s">
        <v>360</v>
      </c>
      <c r="B243" s="1">
        <v>0.42561578703703706</v>
      </c>
      <c r="C243" t="s">
        <v>9</v>
      </c>
      <c r="D243" t="s">
        <v>10</v>
      </c>
      <c r="E243" t="s">
        <v>332</v>
      </c>
      <c r="F243">
        <v>38.700000000000003</v>
      </c>
      <c r="G243" t="s">
        <v>12</v>
      </c>
      <c r="H243" s="2">
        <v>45389</v>
      </c>
    </row>
    <row r="244" spans="1:8" x14ac:dyDescent="0.25">
      <c r="A244" t="s">
        <v>361</v>
      </c>
      <c r="B244" s="1">
        <v>0.53092518518518517</v>
      </c>
      <c r="C244" t="s">
        <v>14</v>
      </c>
      <c r="D244" t="s">
        <v>10</v>
      </c>
      <c r="E244" t="s">
        <v>124</v>
      </c>
      <c r="F244">
        <v>38.700000000000003</v>
      </c>
      <c r="G244" t="s">
        <v>93</v>
      </c>
      <c r="H244" s="2">
        <v>45389</v>
      </c>
    </row>
    <row r="245" spans="1:8" x14ac:dyDescent="0.25">
      <c r="A245" t="s">
        <v>362</v>
      </c>
      <c r="B245" s="1">
        <v>0.53200368055555558</v>
      </c>
      <c r="C245" t="s">
        <v>14</v>
      </c>
      <c r="D245" t="s">
        <v>10</v>
      </c>
      <c r="E245" t="s">
        <v>124</v>
      </c>
      <c r="F245">
        <v>38.700000000000003</v>
      </c>
      <c r="G245" t="s">
        <v>93</v>
      </c>
      <c r="H245" s="2">
        <v>45389</v>
      </c>
    </row>
    <row r="246" spans="1:8" x14ac:dyDescent="0.25">
      <c r="A246" t="s">
        <v>363</v>
      </c>
      <c r="B246" s="1">
        <v>0.59473320601851853</v>
      </c>
      <c r="C246" t="s">
        <v>14</v>
      </c>
      <c r="D246" t="s">
        <v>10</v>
      </c>
      <c r="E246" t="s">
        <v>364</v>
      </c>
      <c r="F246">
        <v>28.9</v>
      </c>
      <c r="G246" t="s">
        <v>54</v>
      </c>
      <c r="H246" s="2">
        <v>45389</v>
      </c>
    </row>
    <row r="247" spans="1:8" x14ac:dyDescent="0.25">
      <c r="A247" t="s">
        <v>365</v>
      </c>
      <c r="B247" s="1">
        <v>0.59549337962962967</v>
      </c>
      <c r="C247" t="s">
        <v>14</v>
      </c>
      <c r="D247" t="s">
        <v>10</v>
      </c>
      <c r="E247" t="s">
        <v>364</v>
      </c>
      <c r="F247">
        <v>24</v>
      </c>
      <c r="G247" t="s">
        <v>72</v>
      </c>
      <c r="H247" s="2">
        <v>45389</v>
      </c>
    </row>
    <row r="248" spans="1:8" x14ac:dyDescent="0.25">
      <c r="A248" t="s">
        <v>366</v>
      </c>
      <c r="B248" s="1">
        <v>0.7508866666666667</v>
      </c>
      <c r="C248" t="s">
        <v>14</v>
      </c>
      <c r="D248" t="s">
        <v>10</v>
      </c>
      <c r="E248" t="s">
        <v>367</v>
      </c>
      <c r="F248">
        <v>38.700000000000003</v>
      </c>
      <c r="G248" t="s">
        <v>16</v>
      </c>
      <c r="H248" s="2">
        <v>45389</v>
      </c>
    </row>
    <row r="249" spans="1:8" x14ac:dyDescent="0.25">
      <c r="A249" t="s">
        <v>368</v>
      </c>
      <c r="B249" s="1">
        <v>0.75143377314814819</v>
      </c>
      <c r="C249" t="s">
        <v>14</v>
      </c>
      <c r="D249" t="s">
        <v>10</v>
      </c>
      <c r="E249" t="s">
        <v>367</v>
      </c>
      <c r="F249">
        <v>33.799999999999997</v>
      </c>
      <c r="G249" t="s">
        <v>25</v>
      </c>
      <c r="H249" s="2">
        <v>45389</v>
      </c>
    </row>
    <row r="250" spans="1:8" x14ac:dyDescent="0.25">
      <c r="A250" t="s">
        <v>369</v>
      </c>
      <c r="B250" s="1">
        <v>0.45718872685185186</v>
      </c>
      <c r="C250" t="s">
        <v>9</v>
      </c>
      <c r="D250" t="s">
        <v>10</v>
      </c>
      <c r="E250" t="s">
        <v>370</v>
      </c>
      <c r="F250">
        <v>33.799999999999997</v>
      </c>
      <c r="G250" t="s">
        <v>25</v>
      </c>
      <c r="H250" s="2">
        <v>45390</v>
      </c>
    </row>
    <row r="251" spans="1:8" x14ac:dyDescent="0.25">
      <c r="A251" t="s">
        <v>371</v>
      </c>
      <c r="B251" s="1">
        <v>0.45795784722222221</v>
      </c>
      <c r="C251" t="s">
        <v>9</v>
      </c>
      <c r="D251" t="s">
        <v>10</v>
      </c>
      <c r="E251" t="s">
        <v>372</v>
      </c>
      <c r="F251">
        <v>38.700000000000003</v>
      </c>
      <c r="G251" t="s">
        <v>93</v>
      </c>
      <c r="H251" s="2">
        <v>45390</v>
      </c>
    </row>
    <row r="252" spans="1:8" x14ac:dyDescent="0.25">
      <c r="A252" t="s">
        <v>373</v>
      </c>
      <c r="B252" s="1">
        <v>0.45926462962962961</v>
      </c>
      <c r="C252" t="s">
        <v>9</v>
      </c>
      <c r="D252" t="s">
        <v>10</v>
      </c>
      <c r="E252" t="s">
        <v>43</v>
      </c>
      <c r="F252">
        <v>28.9</v>
      </c>
      <c r="G252" t="s">
        <v>20</v>
      </c>
      <c r="H252" s="2">
        <v>45390</v>
      </c>
    </row>
    <row r="253" spans="1:8" x14ac:dyDescent="0.25">
      <c r="A253" t="s">
        <v>374</v>
      </c>
      <c r="B253" s="1">
        <v>0.46165543981481483</v>
      </c>
      <c r="C253" t="s">
        <v>9</v>
      </c>
      <c r="D253" t="s">
        <v>10</v>
      </c>
      <c r="E253" t="s">
        <v>375</v>
      </c>
      <c r="F253">
        <v>38.700000000000003</v>
      </c>
      <c r="G253" t="s">
        <v>93</v>
      </c>
      <c r="H253" s="2">
        <v>45390</v>
      </c>
    </row>
    <row r="254" spans="1:8" x14ac:dyDescent="0.25">
      <c r="A254" t="s">
        <v>376</v>
      </c>
      <c r="B254" s="1">
        <v>0.53779973379629631</v>
      </c>
      <c r="C254" t="s">
        <v>14</v>
      </c>
      <c r="D254" t="s">
        <v>39</v>
      </c>
      <c r="E254" t="s">
        <v>39</v>
      </c>
      <c r="F254">
        <v>25</v>
      </c>
      <c r="G254" t="s">
        <v>72</v>
      </c>
      <c r="H254" s="2">
        <v>45390</v>
      </c>
    </row>
    <row r="255" spans="1:8" x14ac:dyDescent="0.25">
      <c r="A255" t="s">
        <v>377</v>
      </c>
      <c r="B255" s="1">
        <v>0.65528797453703702</v>
      </c>
      <c r="C255" t="s">
        <v>14</v>
      </c>
      <c r="D255" t="s">
        <v>39</v>
      </c>
      <c r="E255" t="s">
        <v>39</v>
      </c>
      <c r="F255">
        <v>35</v>
      </c>
      <c r="G255" t="s">
        <v>25</v>
      </c>
      <c r="H255" s="2">
        <v>45390</v>
      </c>
    </row>
    <row r="256" spans="1:8" x14ac:dyDescent="0.25">
      <c r="A256" t="s">
        <v>378</v>
      </c>
      <c r="B256" s="1">
        <v>0.69557645833333337</v>
      </c>
      <c r="C256" t="s">
        <v>14</v>
      </c>
      <c r="D256" t="s">
        <v>10</v>
      </c>
      <c r="E256" t="s">
        <v>57</v>
      </c>
      <c r="F256">
        <v>38.700000000000003</v>
      </c>
      <c r="G256" t="s">
        <v>12</v>
      </c>
      <c r="H256" s="2">
        <v>45390</v>
      </c>
    </row>
    <row r="257" spans="1:8" x14ac:dyDescent="0.25">
      <c r="A257" t="s">
        <v>379</v>
      </c>
      <c r="B257" s="1">
        <v>0.76261241898148147</v>
      </c>
      <c r="C257" t="s">
        <v>14</v>
      </c>
      <c r="D257" t="s">
        <v>10</v>
      </c>
      <c r="E257" t="s">
        <v>380</v>
      </c>
      <c r="F257">
        <v>28.9</v>
      </c>
      <c r="G257" t="s">
        <v>20</v>
      </c>
      <c r="H257" s="2">
        <v>45390</v>
      </c>
    </row>
    <row r="258" spans="1:8" x14ac:dyDescent="0.25">
      <c r="A258" t="s">
        <v>381</v>
      </c>
      <c r="B258" s="1">
        <v>0.80726246527777779</v>
      </c>
      <c r="C258" t="s">
        <v>14</v>
      </c>
      <c r="D258" t="s">
        <v>10</v>
      </c>
      <c r="E258" t="s">
        <v>77</v>
      </c>
      <c r="F258">
        <v>33.799999999999997</v>
      </c>
      <c r="G258" t="s">
        <v>25</v>
      </c>
      <c r="H258" s="2">
        <v>45390</v>
      </c>
    </row>
    <row r="259" spans="1:8" x14ac:dyDescent="0.25">
      <c r="A259" t="s">
        <v>382</v>
      </c>
      <c r="B259" s="1">
        <v>0.80832486111111113</v>
      </c>
      <c r="C259" t="s">
        <v>14</v>
      </c>
      <c r="D259" t="s">
        <v>10</v>
      </c>
      <c r="E259" t="s">
        <v>383</v>
      </c>
      <c r="F259">
        <v>38.700000000000003</v>
      </c>
      <c r="G259" t="s">
        <v>93</v>
      </c>
      <c r="H259" s="2">
        <v>45390</v>
      </c>
    </row>
    <row r="260" spans="1:8" x14ac:dyDescent="0.25">
      <c r="A260" t="s">
        <v>384</v>
      </c>
      <c r="B260" s="1">
        <v>0.43226109953703706</v>
      </c>
      <c r="C260" t="s">
        <v>9</v>
      </c>
      <c r="D260" t="s">
        <v>39</v>
      </c>
      <c r="E260" t="s">
        <v>39</v>
      </c>
      <c r="F260">
        <v>40</v>
      </c>
      <c r="G260" t="s">
        <v>93</v>
      </c>
      <c r="H260" s="2">
        <v>45391</v>
      </c>
    </row>
    <row r="261" spans="1:8" x14ac:dyDescent="0.25">
      <c r="A261" t="s">
        <v>385</v>
      </c>
      <c r="B261" s="1">
        <v>0.43345026620370369</v>
      </c>
      <c r="C261" t="s">
        <v>9</v>
      </c>
      <c r="D261" t="s">
        <v>39</v>
      </c>
      <c r="E261" t="s">
        <v>39</v>
      </c>
      <c r="F261">
        <v>30</v>
      </c>
      <c r="G261" t="s">
        <v>20</v>
      </c>
      <c r="H261" s="2">
        <v>45391</v>
      </c>
    </row>
    <row r="262" spans="1:8" x14ac:dyDescent="0.25">
      <c r="A262" t="s">
        <v>386</v>
      </c>
      <c r="B262" s="1">
        <v>0.48782949074074072</v>
      </c>
      <c r="C262" t="s">
        <v>9</v>
      </c>
      <c r="D262" t="s">
        <v>10</v>
      </c>
      <c r="E262" t="s">
        <v>332</v>
      </c>
      <c r="F262">
        <v>38.700000000000003</v>
      </c>
      <c r="G262" t="s">
        <v>12</v>
      </c>
      <c r="H262" s="2">
        <v>45391</v>
      </c>
    </row>
    <row r="263" spans="1:8" x14ac:dyDescent="0.25">
      <c r="A263" t="s">
        <v>387</v>
      </c>
      <c r="B263" s="1">
        <v>0.63320277777777778</v>
      </c>
      <c r="C263" t="s">
        <v>14</v>
      </c>
      <c r="D263" t="s">
        <v>10</v>
      </c>
      <c r="E263" t="s">
        <v>388</v>
      </c>
      <c r="F263">
        <v>38.700000000000003</v>
      </c>
      <c r="G263" t="s">
        <v>16</v>
      </c>
      <c r="H263" s="2">
        <v>45391</v>
      </c>
    </row>
    <row r="264" spans="1:8" x14ac:dyDescent="0.25">
      <c r="A264" t="s">
        <v>389</v>
      </c>
      <c r="B264" s="1">
        <v>0.7259714814814815</v>
      </c>
      <c r="C264" t="s">
        <v>14</v>
      </c>
      <c r="D264" t="s">
        <v>10</v>
      </c>
      <c r="E264" t="s">
        <v>161</v>
      </c>
      <c r="F264">
        <v>38.700000000000003</v>
      </c>
      <c r="G264" t="s">
        <v>16</v>
      </c>
      <c r="H264" s="2">
        <v>45391</v>
      </c>
    </row>
    <row r="265" spans="1:8" x14ac:dyDescent="0.25">
      <c r="A265" t="s">
        <v>390</v>
      </c>
      <c r="B265" s="1">
        <v>0.43155295138888888</v>
      </c>
      <c r="C265" t="s">
        <v>9</v>
      </c>
      <c r="D265" t="s">
        <v>39</v>
      </c>
      <c r="E265" t="s">
        <v>39</v>
      </c>
      <c r="F265">
        <v>25</v>
      </c>
      <c r="G265" t="s">
        <v>72</v>
      </c>
      <c r="H265" s="2">
        <v>45392</v>
      </c>
    </row>
    <row r="266" spans="1:8" x14ac:dyDescent="0.25">
      <c r="A266" t="s">
        <v>391</v>
      </c>
      <c r="B266" s="1">
        <v>0.74660900462962965</v>
      </c>
      <c r="C266" t="s">
        <v>14</v>
      </c>
      <c r="D266" t="s">
        <v>39</v>
      </c>
      <c r="E266" t="s">
        <v>39</v>
      </c>
      <c r="F266">
        <v>40</v>
      </c>
      <c r="G266" t="s">
        <v>16</v>
      </c>
      <c r="H266" s="2">
        <v>45392</v>
      </c>
    </row>
    <row r="267" spans="1:8" x14ac:dyDescent="0.25">
      <c r="A267" t="s">
        <v>392</v>
      </c>
      <c r="B267" s="1">
        <v>0.74688939814814814</v>
      </c>
      <c r="C267" t="s">
        <v>14</v>
      </c>
      <c r="D267" t="s">
        <v>10</v>
      </c>
      <c r="E267" t="s">
        <v>393</v>
      </c>
      <c r="F267">
        <v>24</v>
      </c>
      <c r="G267" t="s">
        <v>72</v>
      </c>
      <c r="H267" s="2">
        <v>45392</v>
      </c>
    </row>
    <row r="268" spans="1:8" x14ac:dyDescent="0.25">
      <c r="A268" t="s">
        <v>394</v>
      </c>
      <c r="B268" s="1">
        <v>0.76735289351851854</v>
      </c>
      <c r="C268" t="s">
        <v>14</v>
      </c>
      <c r="D268" t="s">
        <v>10</v>
      </c>
      <c r="E268" t="s">
        <v>35</v>
      </c>
      <c r="F268">
        <v>38.700000000000003</v>
      </c>
      <c r="G268" t="s">
        <v>93</v>
      </c>
      <c r="H268" s="2">
        <v>45392</v>
      </c>
    </row>
    <row r="269" spans="1:8" x14ac:dyDescent="0.25">
      <c r="A269" t="s">
        <v>395</v>
      </c>
      <c r="B269" s="1">
        <v>0.83617344907407409</v>
      </c>
      <c r="C269" t="s">
        <v>14</v>
      </c>
      <c r="D269" t="s">
        <v>10</v>
      </c>
      <c r="E269" t="s">
        <v>396</v>
      </c>
      <c r="F269">
        <v>38.700000000000003</v>
      </c>
      <c r="G269" t="s">
        <v>12</v>
      </c>
      <c r="H269" s="2">
        <v>45392</v>
      </c>
    </row>
    <row r="270" spans="1:8" x14ac:dyDescent="0.25">
      <c r="A270" t="s">
        <v>397</v>
      </c>
      <c r="B270" s="1">
        <v>0.44540688657407407</v>
      </c>
      <c r="C270" t="s">
        <v>9</v>
      </c>
      <c r="D270" t="s">
        <v>10</v>
      </c>
      <c r="E270" t="s">
        <v>398</v>
      </c>
      <c r="F270">
        <v>28.9</v>
      </c>
      <c r="G270" t="s">
        <v>20</v>
      </c>
      <c r="H270" s="2">
        <v>45393</v>
      </c>
    </row>
    <row r="271" spans="1:8" x14ac:dyDescent="0.25">
      <c r="A271" t="s">
        <v>399</v>
      </c>
      <c r="B271" s="1">
        <v>0.44652042824074073</v>
      </c>
      <c r="C271" t="s">
        <v>9</v>
      </c>
      <c r="D271" t="s">
        <v>10</v>
      </c>
      <c r="E271" t="s">
        <v>398</v>
      </c>
      <c r="F271">
        <v>28.9</v>
      </c>
      <c r="G271" t="s">
        <v>20</v>
      </c>
      <c r="H271" s="2">
        <v>45393</v>
      </c>
    </row>
    <row r="272" spans="1:8" x14ac:dyDescent="0.25">
      <c r="A272" t="s">
        <v>400</v>
      </c>
      <c r="B272" s="1">
        <v>0.69123922453703701</v>
      </c>
      <c r="C272" t="s">
        <v>14</v>
      </c>
      <c r="D272" t="s">
        <v>10</v>
      </c>
      <c r="E272" t="s">
        <v>57</v>
      </c>
      <c r="F272">
        <v>38.700000000000003</v>
      </c>
      <c r="G272" t="s">
        <v>12</v>
      </c>
      <c r="H272" s="2">
        <v>45393</v>
      </c>
    </row>
    <row r="273" spans="1:8" x14ac:dyDescent="0.25">
      <c r="A273" t="s">
        <v>401</v>
      </c>
      <c r="B273" s="1">
        <v>0.80343273148148153</v>
      </c>
      <c r="C273" t="s">
        <v>14</v>
      </c>
      <c r="D273" t="s">
        <v>10</v>
      </c>
      <c r="E273" t="s">
        <v>383</v>
      </c>
      <c r="F273">
        <v>38.700000000000003</v>
      </c>
      <c r="G273" t="s">
        <v>93</v>
      </c>
      <c r="H273" s="2">
        <v>45393</v>
      </c>
    </row>
    <row r="274" spans="1:8" x14ac:dyDescent="0.25">
      <c r="A274" t="s">
        <v>402</v>
      </c>
      <c r="B274" s="1">
        <v>0.8045904976851852</v>
      </c>
      <c r="C274" t="s">
        <v>14</v>
      </c>
      <c r="D274" t="s">
        <v>10</v>
      </c>
      <c r="E274" t="s">
        <v>77</v>
      </c>
      <c r="F274">
        <v>33.799999999999997</v>
      </c>
      <c r="G274" t="s">
        <v>25</v>
      </c>
      <c r="H274" s="2">
        <v>45393</v>
      </c>
    </row>
    <row r="275" spans="1:8" x14ac:dyDescent="0.25">
      <c r="A275" t="s">
        <v>403</v>
      </c>
      <c r="B275" s="1">
        <v>0.79425234953703705</v>
      </c>
      <c r="C275" t="s">
        <v>14</v>
      </c>
      <c r="D275" t="s">
        <v>10</v>
      </c>
      <c r="E275" t="s">
        <v>61</v>
      </c>
      <c r="F275">
        <v>38.700000000000003</v>
      </c>
      <c r="G275" t="s">
        <v>16</v>
      </c>
      <c r="H275" s="2">
        <v>45394</v>
      </c>
    </row>
    <row r="276" spans="1:8" x14ac:dyDescent="0.25">
      <c r="A276" t="s">
        <v>404</v>
      </c>
      <c r="B276" s="1">
        <v>0.81832394675925924</v>
      </c>
      <c r="C276" t="s">
        <v>14</v>
      </c>
      <c r="D276" t="s">
        <v>10</v>
      </c>
      <c r="E276" t="s">
        <v>35</v>
      </c>
      <c r="F276">
        <v>28.9</v>
      </c>
      <c r="G276" t="s">
        <v>54</v>
      </c>
      <c r="H276" s="2">
        <v>45394</v>
      </c>
    </row>
    <row r="277" spans="1:8" x14ac:dyDescent="0.25">
      <c r="A277" t="s">
        <v>405</v>
      </c>
      <c r="B277" s="1">
        <v>0.52036832175925929</v>
      </c>
      <c r="C277" t="s">
        <v>14</v>
      </c>
      <c r="D277" t="s">
        <v>10</v>
      </c>
      <c r="E277" t="s">
        <v>35</v>
      </c>
      <c r="F277">
        <v>38.700000000000003</v>
      </c>
      <c r="G277" t="s">
        <v>12</v>
      </c>
      <c r="H277" s="2">
        <v>45395</v>
      </c>
    </row>
    <row r="278" spans="1:8" x14ac:dyDescent="0.25">
      <c r="A278" t="s">
        <v>406</v>
      </c>
      <c r="B278" s="1">
        <v>0.52988876157407405</v>
      </c>
      <c r="C278" t="s">
        <v>14</v>
      </c>
      <c r="D278" t="s">
        <v>10</v>
      </c>
      <c r="E278" t="s">
        <v>43</v>
      </c>
      <c r="F278">
        <v>28.9</v>
      </c>
      <c r="G278" t="s">
        <v>20</v>
      </c>
      <c r="H278" s="2">
        <v>45395</v>
      </c>
    </row>
    <row r="279" spans="1:8" x14ac:dyDescent="0.25">
      <c r="A279" t="s">
        <v>407</v>
      </c>
      <c r="B279" s="1">
        <v>0.62977189814814816</v>
      </c>
      <c r="C279" t="s">
        <v>14</v>
      </c>
      <c r="D279" t="s">
        <v>39</v>
      </c>
      <c r="E279" t="s">
        <v>39</v>
      </c>
      <c r="F279">
        <v>40</v>
      </c>
      <c r="G279" t="s">
        <v>16</v>
      </c>
      <c r="H279" s="2">
        <v>45395</v>
      </c>
    </row>
    <row r="280" spans="1:8" x14ac:dyDescent="0.25">
      <c r="A280" t="s">
        <v>408</v>
      </c>
      <c r="B280" s="1">
        <v>0.63050886574074072</v>
      </c>
      <c r="C280" t="s">
        <v>14</v>
      </c>
      <c r="D280" t="s">
        <v>39</v>
      </c>
      <c r="E280" t="s">
        <v>39</v>
      </c>
      <c r="F280">
        <v>40</v>
      </c>
      <c r="G280" t="s">
        <v>16</v>
      </c>
      <c r="H280" s="2">
        <v>45395</v>
      </c>
    </row>
    <row r="281" spans="1:8" x14ac:dyDescent="0.25">
      <c r="A281" t="s">
        <v>409</v>
      </c>
      <c r="B281" s="1">
        <v>0.67921224537037039</v>
      </c>
      <c r="C281" t="s">
        <v>14</v>
      </c>
      <c r="D281" t="s">
        <v>10</v>
      </c>
      <c r="E281" t="s">
        <v>410</v>
      </c>
      <c r="F281">
        <v>38.700000000000003</v>
      </c>
      <c r="G281" t="s">
        <v>93</v>
      </c>
      <c r="H281" s="2">
        <v>45395</v>
      </c>
    </row>
    <row r="282" spans="1:8" x14ac:dyDescent="0.25">
      <c r="A282" t="s">
        <v>411</v>
      </c>
      <c r="B282" s="1">
        <v>0.68032174768518516</v>
      </c>
      <c r="C282" t="s">
        <v>14</v>
      </c>
      <c r="D282" t="s">
        <v>10</v>
      </c>
      <c r="E282" t="s">
        <v>410</v>
      </c>
      <c r="F282">
        <v>38.700000000000003</v>
      </c>
      <c r="G282" t="s">
        <v>12</v>
      </c>
      <c r="H282" s="2">
        <v>45395</v>
      </c>
    </row>
    <row r="283" spans="1:8" x14ac:dyDescent="0.25">
      <c r="A283" t="s">
        <v>412</v>
      </c>
      <c r="B283" s="1">
        <v>0.74405122685185188</v>
      </c>
      <c r="C283" t="s">
        <v>14</v>
      </c>
      <c r="D283" t="s">
        <v>10</v>
      </c>
      <c r="E283" t="s">
        <v>413</v>
      </c>
      <c r="F283">
        <v>38.700000000000003</v>
      </c>
      <c r="G283" t="s">
        <v>93</v>
      </c>
      <c r="H283" s="2">
        <v>45395</v>
      </c>
    </row>
    <row r="284" spans="1:8" x14ac:dyDescent="0.25">
      <c r="A284" t="s">
        <v>414</v>
      </c>
      <c r="B284" s="1">
        <v>0.7453615393518519</v>
      </c>
      <c r="C284" t="s">
        <v>14</v>
      </c>
      <c r="D284" t="s">
        <v>10</v>
      </c>
      <c r="E284" t="s">
        <v>43</v>
      </c>
      <c r="F284">
        <v>38.700000000000003</v>
      </c>
      <c r="G284" t="s">
        <v>93</v>
      </c>
      <c r="H284" s="2">
        <v>45395</v>
      </c>
    </row>
    <row r="285" spans="1:8" x14ac:dyDescent="0.25">
      <c r="A285" t="s">
        <v>415</v>
      </c>
      <c r="B285" s="1">
        <v>0.45517831018518518</v>
      </c>
      <c r="C285" t="s">
        <v>9</v>
      </c>
      <c r="D285" t="s">
        <v>39</v>
      </c>
      <c r="E285" t="s">
        <v>39</v>
      </c>
      <c r="F285">
        <v>40</v>
      </c>
      <c r="G285" t="s">
        <v>12</v>
      </c>
      <c r="H285" s="2">
        <v>45396</v>
      </c>
    </row>
    <row r="286" spans="1:8" x14ac:dyDescent="0.25">
      <c r="A286" t="s">
        <v>416</v>
      </c>
      <c r="B286" s="1">
        <v>0.51711837962962959</v>
      </c>
      <c r="C286" t="s">
        <v>14</v>
      </c>
      <c r="D286" t="s">
        <v>10</v>
      </c>
      <c r="E286" t="s">
        <v>417</v>
      </c>
      <c r="F286">
        <v>38.700000000000003</v>
      </c>
      <c r="G286" t="s">
        <v>93</v>
      </c>
      <c r="H286" s="2">
        <v>45396</v>
      </c>
    </row>
    <row r="287" spans="1:8" x14ac:dyDescent="0.25">
      <c r="A287" t="s">
        <v>418</v>
      </c>
      <c r="B287" s="1">
        <v>0.51885359953703702</v>
      </c>
      <c r="C287" t="s">
        <v>14</v>
      </c>
      <c r="D287" t="s">
        <v>39</v>
      </c>
      <c r="E287" t="s">
        <v>39</v>
      </c>
      <c r="F287">
        <v>30</v>
      </c>
      <c r="G287" t="s">
        <v>54</v>
      </c>
      <c r="H287" s="2">
        <v>45396</v>
      </c>
    </row>
    <row r="288" spans="1:8" x14ac:dyDescent="0.25">
      <c r="A288" t="s">
        <v>419</v>
      </c>
      <c r="B288" s="1">
        <v>0.52021848379629632</v>
      </c>
      <c r="C288" t="s">
        <v>14</v>
      </c>
      <c r="D288" t="s">
        <v>39</v>
      </c>
      <c r="E288" t="s">
        <v>39</v>
      </c>
      <c r="F288">
        <v>30</v>
      </c>
      <c r="G288" t="s">
        <v>54</v>
      </c>
      <c r="H288" s="2">
        <v>45396</v>
      </c>
    </row>
    <row r="289" spans="1:8" x14ac:dyDescent="0.25">
      <c r="A289" t="s">
        <v>420</v>
      </c>
      <c r="B289" s="1">
        <v>0.52194486111111116</v>
      </c>
      <c r="C289" t="s">
        <v>14</v>
      </c>
      <c r="D289" t="s">
        <v>39</v>
      </c>
      <c r="E289" t="s">
        <v>39</v>
      </c>
      <c r="F289">
        <v>35</v>
      </c>
      <c r="G289" t="s">
        <v>25</v>
      </c>
      <c r="H289" s="2">
        <v>45396</v>
      </c>
    </row>
    <row r="290" spans="1:8" x14ac:dyDescent="0.25">
      <c r="A290" t="s">
        <v>421</v>
      </c>
      <c r="B290" s="1">
        <v>0.55682648148148151</v>
      </c>
      <c r="C290" t="s">
        <v>14</v>
      </c>
      <c r="D290" t="s">
        <v>10</v>
      </c>
      <c r="E290" t="s">
        <v>422</v>
      </c>
      <c r="F290">
        <v>28.9</v>
      </c>
      <c r="G290" t="s">
        <v>54</v>
      </c>
      <c r="H290" s="2">
        <v>45396</v>
      </c>
    </row>
    <row r="291" spans="1:8" x14ac:dyDescent="0.25">
      <c r="A291" t="s">
        <v>423</v>
      </c>
      <c r="B291" s="1">
        <v>0.59967165509259257</v>
      </c>
      <c r="C291" t="s">
        <v>14</v>
      </c>
      <c r="D291" t="s">
        <v>10</v>
      </c>
      <c r="E291" t="s">
        <v>43</v>
      </c>
      <c r="F291">
        <v>28.9</v>
      </c>
      <c r="G291" t="s">
        <v>20</v>
      </c>
      <c r="H291" s="2">
        <v>45396</v>
      </c>
    </row>
    <row r="292" spans="1:8" x14ac:dyDescent="0.25">
      <c r="A292" t="s">
        <v>424</v>
      </c>
      <c r="B292" s="1">
        <v>0.60031168981481486</v>
      </c>
      <c r="C292" t="s">
        <v>14</v>
      </c>
      <c r="D292" t="s">
        <v>10</v>
      </c>
      <c r="E292" t="s">
        <v>43</v>
      </c>
      <c r="F292">
        <v>28.9</v>
      </c>
      <c r="G292" t="s">
        <v>20</v>
      </c>
      <c r="H292" s="2">
        <v>45396</v>
      </c>
    </row>
    <row r="293" spans="1:8" x14ac:dyDescent="0.25">
      <c r="A293" t="s">
        <v>425</v>
      </c>
      <c r="B293" s="1">
        <v>0.60090418981481486</v>
      </c>
      <c r="C293" t="s">
        <v>14</v>
      </c>
      <c r="D293" t="s">
        <v>10</v>
      </c>
      <c r="E293" t="s">
        <v>43</v>
      </c>
      <c r="F293">
        <v>28.9</v>
      </c>
      <c r="G293" t="s">
        <v>20</v>
      </c>
      <c r="H293" s="2">
        <v>45396</v>
      </c>
    </row>
    <row r="294" spans="1:8" x14ac:dyDescent="0.25">
      <c r="A294" t="s">
        <v>426</v>
      </c>
      <c r="B294" s="1">
        <v>0.65726542824074075</v>
      </c>
      <c r="C294" t="s">
        <v>14</v>
      </c>
      <c r="D294" t="s">
        <v>10</v>
      </c>
      <c r="E294" t="s">
        <v>57</v>
      </c>
      <c r="F294">
        <v>38.700000000000003</v>
      </c>
      <c r="G294" t="s">
        <v>93</v>
      </c>
      <c r="H294" s="2">
        <v>45396</v>
      </c>
    </row>
    <row r="295" spans="1:8" x14ac:dyDescent="0.25">
      <c r="A295" t="s">
        <v>427</v>
      </c>
      <c r="B295" s="1">
        <v>0.70827341435185187</v>
      </c>
      <c r="C295" t="s">
        <v>14</v>
      </c>
      <c r="D295" t="s">
        <v>10</v>
      </c>
      <c r="E295" t="s">
        <v>43</v>
      </c>
      <c r="F295">
        <v>28.9</v>
      </c>
      <c r="G295" t="s">
        <v>54</v>
      </c>
      <c r="H295" s="2">
        <v>45396</v>
      </c>
    </row>
    <row r="296" spans="1:8" x14ac:dyDescent="0.25">
      <c r="A296" t="s">
        <v>428</v>
      </c>
      <c r="B296" s="1">
        <v>0.70885864583333336</v>
      </c>
      <c r="C296" t="s">
        <v>14</v>
      </c>
      <c r="D296" t="s">
        <v>10</v>
      </c>
      <c r="E296" t="s">
        <v>61</v>
      </c>
      <c r="F296">
        <v>38.700000000000003</v>
      </c>
      <c r="G296" t="s">
        <v>12</v>
      </c>
      <c r="H296" s="2">
        <v>45396</v>
      </c>
    </row>
    <row r="297" spans="1:8" x14ac:dyDescent="0.25">
      <c r="A297" t="s">
        <v>429</v>
      </c>
      <c r="B297" s="1">
        <v>0.77661630787037039</v>
      </c>
      <c r="C297" t="s">
        <v>14</v>
      </c>
      <c r="D297" t="s">
        <v>10</v>
      </c>
      <c r="E297" t="s">
        <v>430</v>
      </c>
      <c r="F297">
        <v>38.700000000000003</v>
      </c>
      <c r="G297" t="s">
        <v>93</v>
      </c>
      <c r="H297" s="2">
        <v>45396</v>
      </c>
    </row>
    <row r="298" spans="1:8" x14ac:dyDescent="0.25">
      <c r="A298" t="s">
        <v>431</v>
      </c>
      <c r="B298" s="1">
        <v>0.48986827546296297</v>
      </c>
      <c r="C298" t="s">
        <v>9</v>
      </c>
      <c r="D298" t="s">
        <v>10</v>
      </c>
      <c r="E298" t="s">
        <v>212</v>
      </c>
      <c r="F298">
        <v>28.9</v>
      </c>
      <c r="G298" t="s">
        <v>20</v>
      </c>
      <c r="H298" s="2">
        <v>45397</v>
      </c>
    </row>
    <row r="299" spans="1:8" x14ac:dyDescent="0.25">
      <c r="A299" t="s">
        <v>432</v>
      </c>
      <c r="B299" s="1">
        <v>0.70956434027777782</v>
      </c>
      <c r="C299" t="s">
        <v>14</v>
      </c>
      <c r="D299" t="s">
        <v>10</v>
      </c>
      <c r="E299" t="s">
        <v>19</v>
      </c>
      <c r="F299">
        <v>28.9</v>
      </c>
      <c r="G299" t="s">
        <v>20</v>
      </c>
      <c r="H299" s="2">
        <v>45397</v>
      </c>
    </row>
    <row r="300" spans="1:8" x14ac:dyDescent="0.25">
      <c r="A300" t="s">
        <v>433</v>
      </c>
      <c r="B300" s="1">
        <v>0.71029800925925923</v>
      </c>
      <c r="C300" t="s">
        <v>14</v>
      </c>
      <c r="D300" t="s">
        <v>10</v>
      </c>
      <c r="E300" t="s">
        <v>22</v>
      </c>
      <c r="F300">
        <v>33.799999999999997</v>
      </c>
      <c r="G300" t="s">
        <v>25</v>
      </c>
      <c r="H300" s="2">
        <v>45397</v>
      </c>
    </row>
    <row r="301" spans="1:8" x14ac:dyDescent="0.25">
      <c r="A301" t="s">
        <v>434</v>
      </c>
      <c r="B301" s="1">
        <v>0.81461847222222217</v>
      </c>
      <c r="C301" t="s">
        <v>14</v>
      </c>
      <c r="D301" t="s">
        <v>10</v>
      </c>
      <c r="E301" t="s">
        <v>35</v>
      </c>
      <c r="F301">
        <v>33.799999999999997</v>
      </c>
      <c r="G301" t="s">
        <v>25</v>
      </c>
      <c r="H301" s="2">
        <v>45397</v>
      </c>
    </row>
    <row r="302" spans="1:8" x14ac:dyDescent="0.25">
      <c r="A302" t="s">
        <v>435</v>
      </c>
      <c r="B302" s="1">
        <v>0.82081148148148153</v>
      </c>
      <c r="C302" t="s">
        <v>14</v>
      </c>
      <c r="D302" t="s">
        <v>39</v>
      </c>
      <c r="E302" t="s">
        <v>39</v>
      </c>
      <c r="F302">
        <v>25</v>
      </c>
      <c r="G302" t="s">
        <v>72</v>
      </c>
      <c r="H302" s="2">
        <v>45397</v>
      </c>
    </row>
    <row r="303" spans="1:8" x14ac:dyDescent="0.25">
      <c r="A303" t="s">
        <v>436</v>
      </c>
      <c r="B303" s="1">
        <v>0.44710540509259261</v>
      </c>
      <c r="C303" t="s">
        <v>9</v>
      </c>
      <c r="D303" t="s">
        <v>39</v>
      </c>
      <c r="E303" t="s">
        <v>39</v>
      </c>
      <c r="F303">
        <v>35</v>
      </c>
      <c r="G303" t="s">
        <v>25</v>
      </c>
      <c r="H303" s="2">
        <v>45398</v>
      </c>
    </row>
    <row r="304" spans="1:8" x14ac:dyDescent="0.25">
      <c r="A304" t="s">
        <v>437</v>
      </c>
      <c r="B304" s="1">
        <v>0.44890863425925925</v>
      </c>
      <c r="C304" t="s">
        <v>9</v>
      </c>
      <c r="D304" t="s">
        <v>10</v>
      </c>
      <c r="E304" t="s">
        <v>438</v>
      </c>
      <c r="F304">
        <v>33.799999999999997</v>
      </c>
      <c r="G304" t="s">
        <v>25</v>
      </c>
      <c r="H304" s="2">
        <v>45398</v>
      </c>
    </row>
    <row r="305" spans="1:8" x14ac:dyDescent="0.25">
      <c r="A305" t="s">
        <v>439</v>
      </c>
      <c r="B305" s="1">
        <v>0.52832957175925921</v>
      </c>
      <c r="C305" t="s">
        <v>14</v>
      </c>
      <c r="D305" t="s">
        <v>10</v>
      </c>
      <c r="E305" t="s">
        <v>440</v>
      </c>
      <c r="F305">
        <v>38.700000000000003</v>
      </c>
      <c r="G305" t="s">
        <v>32</v>
      </c>
      <c r="H305" s="2">
        <v>45398</v>
      </c>
    </row>
    <row r="306" spans="1:8" x14ac:dyDescent="0.25">
      <c r="A306" t="s">
        <v>441</v>
      </c>
      <c r="B306" s="1">
        <v>0.53620081018518517</v>
      </c>
      <c r="C306" t="s">
        <v>14</v>
      </c>
      <c r="D306" t="s">
        <v>10</v>
      </c>
      <c r="E306" t="s">
        <v>212</v>
      </c>
      <c r="F306">
        <v>28.9</v>
      </c>
      <c r="G306" t="s">
        <v>54</v>
      </c>
      <c r="H306" s="2">
        <v>45398</v>
      </c>
    </row>
    <row r="307" spans="1:8" x14ac:dyDescent="0.25">
      <c r="A307" t="s">
        <v>442</v>
      </c>
      <c r="B307" s="1">
        <v>0.62727880787037038</v>
      </c>
      <c r="C307" t="s">
        <v>14</v>
      </c>
      <c r="D307" t="s">
        <v>10</v>
      </c>
      <c r="E307" t="s">
        <v>443</v>
      </c>
      <c r="F307">
        <v>28.9</v>
      </c>
      <c r="G307" t="s">
        <v>20</v>
      </c>
      <c r="H307" s="2">
        <v>45398</v>
      </c>
    </row>
    <row r="308" spans="1:8" x14ac:dyDescent="0.25">
      <c r="A308" t="s">
        <v>444</v>
      </c>
      <c r="B308" s="1">
        <v>0.73754870370370373</v>
      </c>
      <c r="C308" t="s">
        <v>14</v>
      </c>
      <c r="D308" t="s">
        <v>10</v>
      </c>
      <c r="E308" t="s">
        <v>77</v>
      </c>
      <c r="F308">
        <v>33.799999999999997</v>
      </c>
      <c r="G308" t="s">
        <v>25</v>
      </c>
      <c r="H308" s="2">
        <v>45398</v>
      </c>
    </row>
    <row r="309" spans="1:8" x14ac:dyDescent="0.25">
      <c r="A309" t="s">
        <v>445</v>
      </c>
      <c r="B309" s="1">
        <v>0.73846018518518519</v>
      </c>
      <c r="C309" t="s">
        <v>14</v>
      </c>
      <c r="D309" t="s">
        <v>10</v>
      </c>
      <c r="E309" t="s">
        <v>35</v>
      </c>
      <c r="F309">
        <v>38.700000000000003</v>
      </c>
      <c r="G309" t="s">
        <v>93</v>
      </c>
      <c r="H309" s="2">
        <v>45398</v>
      </c>
    </row>
    <row r="310" spans="1:8" x14ac:dyDescent="0.25">
      <c r="A310" t="s">
        <v>446</v>
      </c>
      <c r="B310" s="1">
        <v>0.7563110300925926</v>
      </c>
      <c r="C310" t="s">
        <v>14</v>
      </c>
      <c r="D310" t="s">
        <v>10</v>
      </c>
      <c r="E310" t="s">
        <v>165</v>
      </c>
      <c r="F310">
        <v>38.700000000000003</v>
      </c>
      <c r="G310" t="s">
        <v>32</v>
      </c>
      <c r="H310" s="2">
        <v>45398</v>
      </c>
    </row>
    <row r="311" spans="1:8" x14ac:dyDescent="0.25">
      <c r="A311" t="s">
        <v>447</v>
      </c>
      <c r="B311" s="1">
        <v>0.5645809259259259</v>
      </c>
      <c r="C311" t="s">
        <v>14</v>
      </c>
      <c r="D311" t="s">
        <v>10</v>
      </c>
      <c r="E311" t="s">
        <v>43</v>
      </c>
      <c r="F311">
        <v>28.9</v>
      </c>
      <c r="G311" t="s">
        <v>20</v>
      </c>
      <c r="H311" s="2">
        <v>45399</v>
      </c>
    </row>
    <row r="312" spans="1:8" x14ac:dyDescent="0.25">
      <c r="A312" t="s">
        <v>448</v>
      </c>
      <c r="B312" s="1">
        <v>0.57222431712962962</v>
      </c>
      <c r="C312" t="s">
        <v>14</v>
      </c>
      <c r="D312" t="s">
        <v>10</v>
      </c>
      <c r="E312" t="s">
        <v>449</v>
      </c>
      <c r="F312">
        <v>24</v>
      </c>
      <c r="G312" t="s">
        <v>72</v>
      </c>
      <c r="H312" s="2">
        <v>45399</v>
      </c>
    </row>
    <row r="313" spans="1:8" x14ac:dyDescent="0.25">
      <c r="A313" t="s">
        <v>450</v>
      </c>
      <c r="B313" s="1">
        <v>0.67597581018518516</v>
      </c>
      <c r="C313" t="s">
        <v>14</v>
      </c>
      <c r="D313" t="s">
        <v>39</v>
      </c>
      <c r="E313" t="s">
        <v>39</v>
      </c>
      <c r="F313">
        <v>40</v>
      </c>
      <c r="G313" t="s">
        <v>93</v>
      </c>
      <c r="H313" s="2">
        <v>45399</v>
      </c>
    </row>
    <row r="314" spans="1:8" x14ac:dyDescent="0.25">
      <c r="A314" t="s">
        <v>451</v>
      </c>
      <c r="B314" s="1">
        <v>0.70943459490740746</v>
      </c>
      <c r="C314" t="s">
        <v>14</v>
      </c>
      <c r="D314" t="s">
        <v>10</v>
      </c>
      <c r="E314" t="s">
        <v>452</v>
      </c>
      <c r="F314">
        <v>38.700000000000003</v>
      </c>
      <c r="G314" t="s">
        <v>93</v>
      </c>
      <c r="H314" s="2">
        <v>45399</v>
      </c>
    </row>
    <row r="315" spans="1:8" x14ac:dyDescent="0.25">
      <c r="A315" t="s">
        <v>453</v>
      </c>
      <c r="B315" s="1">
        <v>0.71019313657407412</v>
      </c>
      <c r="C315" t="s">
        <v>14</v>
      </c>
      <c r="D315" t="s">
        <v>10</v>
      </c>
      <c r="E315" t="s">
        <v>452</v>
      </c>
      <c r="F315">
        <v>38.700000000000003</v>
      </c>
      <c r="G315" t="s">
        <v>93</v>
      </c>
      <c r="H315" s="2">
        <v>45399</v>
      </c>
    </row>
    <row r="316" spans="1:8" x14ac:dyDescent="0.25">
      <c r="A316" t="s">
        <v>454</v>
      </c>
      <c r="B316" s="1">
        <v>0.75975959490740741</v>
      </c>
      <c r="C316" t="s">
        <v>14</v>
      </c>
      <c r="D316" t="s">
        <v>10</v>
      </c>
      <c r="E316" t="s">
        <v>455</v>
      </c>
      <c r="F316">
        <v>28.9</v>
      </c>
      <c r="G316" t="s">
        <v>54</v>
      </c>
      <c r="H316" s="2">
        <v>45399</v>
      </c>
    </row>
    <row r="317" spans="1:8" x14ac:dyDescent="0.25">
      <c r="A317" t="s">
        <v>456</v>
      </c>
      <c r="B317" s="1">
        <v>0.47154737268518521</v>
      </c>
      <c r="C317" t="s">
        <v>9</v>
      </c>
      <c r="D317" t="s">
        <v>10</v>
      </c>
      <c r="E317" t="s">
        <v>19</v>
      </c>
      <c r="F317">
        <v>28.9</v>
      </c>
      <c r="G317" t="s">
        <v>20</v>
      </c>
      <c r="H317" s="2">
        <v>45400</v>
      </c>
    </row>
    <row r="318" spans="1:8" x14ac:dyDescent="0.25">
      <c r="A318" t="s">
        <v>457</v>
      </c>
      <c r="B318" s="1">
        <v>0.47228814814814812</v>
      </c>
      <c r="C318" t="s">
        <v>9</v>
      </c>
      <c r="D318" t="s">
        <v>10</v>
      </c>
      <c r="E318" t="s">
        <v>19</v>
      </c>
      <c r="F318">
        <v>28.9</v>
      </c>
      <c r="G318" t="s">
        <v>20</v>
      </c>
      <c r="H318" s="2">
        <v>45400</v>
      </c>
    </row>
    <row r="319" spans="1:8" x14ac:dyDescent="0.25">
      <c r="A319" t="s">
        <v>458</v>
      </c>
      <c r="B319" s="1">
        <v>0.5758416666666667</v>
      </c>
      <c r="C319" t="s">
        <v>14</v>
      </c>
      <c r="D319" t="s">
        <v>10</v>
      </c>
      <c r="E319" t="s">
        <v>459</v>
      </c>
      <c r="F319">
        <v>33.799999999999997</v>
      </c>
      <c r="G319" t="s">
        <v>25</v>
      </c>
      <c r="H319" s="2">
        <v>45400</v>
      </c>
    </row>
    <row r="320" spans="1:8" x14ac:dyDescent="0.25">
      <c r="A320" t="s">
        <v>460</v>
      </c>
      <c r="B320" s="1">
        <v>0.57658894675925931</v>
      </c>
      <c r="C320" t="s">
        <v>14</v>
      </c>
      <c r="D320" t="s">
        <v>10</v>
      </c>
      <c r="E320" t="s">
        <v>459</v>
      </c>
      <c r="F320">
        <v>28.9</v>
      </c>
      <c r="G320" t="s">
        <v>54</v>
      </c>
      <c r="H320" s="2">
        <v>45400</v>
      </c>
    </row>
    <row r="321" spans="1:8" x14ac:dyDescent="0.25">
      <c r="A321" t="s">
        <v>461</v>
      </c>
      <c r="B321" s="1">
        <v>0.60717381944444448</v>
      </c>
      <c r="C321" t="s">
        <v>14</v>
      </c>
      <c r="D321" t="s">
        <v>10</v>
      </c>
      <c r="E321" t="s">
        <v>462</v>
      </c>
      <c r="F321">
        <v>38.700000000000003</v>
      </c>
      <c r="G321" t="s">
        <v>93</v>
      </c>
      <c r="H321" s="2">
        <v>45400</v>
      </c>
    </row>
    <row r="322" spans="1:8" x14ac:dyDescent="0.25">
      <c r="A322" t="s">
        <v>463</v>
      </c>
      <c r="B322" s="1">
        <v>0.60821011574074069</v>
      </c>
      <c r="C322" t="s">
        <v>14</v>
      </c>
      <c r="D322" t="s">
        <v>10</v>
      </c>
      <c r="E322" t="s">
        <v>462</v>
      </c>
      <c r="F322">
        <v>38.700000000000003</v>
      </c>
      <c r="G322" t="s">
        <v>12</v>
      </c>
      <c r="H322" s="2">
        <v>45400</v>
      </c>
    </row>
    <row r="323" spans="1:8" x14ac:dyDescent="0.25">
      <c r="A323" t="s">
        <v>464</v>
      </c>
      <c r="B323" s="1">
        <v>0.73907165509259254</v>
      </c>
      <c r="C323" t="s">
        <v>14</v>
      </c>
      <c r="D323" t="s">
        <v>10</v>
      </c>
      <c r="E323" t="s">
        <v>238</v>
      </c>
      <c r="F323">
        <v>38.700000000000003</v>
      </c>
      <c r="G323" t="s">
        <v>12</v>
      </c>
      <c r="H323" s="2">
        <v>45400</v>
      </c>
    </row>
    <row r="324" spans="1:8" x14ac:dyDescent="0.25">
      <c r="A324" t="s">
        <v>465</v>
      </c>
      <c r="B324" s="1">
        <v>0.76465214120370373</v>
      </c>
      <c r="C324" t="s">
        <v>14</v>
      </c>
      <c r="D324" t="s">
        <v>10</v>
      </c>
      <c r="E324" t="s">
        <v>296</v>
      </c>
      <c r="F324">
        <v>38.700000000000003</v>
      </c>
      <c r="G324" t="s">
        <v>93</v>
      </c>
      <c r="H324" s="2">
        <v>45400</v>
      </c>
    </row>
    <row r="325" spans="1:8" x14ac:dyDescent="0.25">
      <c r="A325" t="s">
        <v>466</v>
      </c>
      <c r="B325" s="1">
        <v>0.81934251157407412</v>
      </c>
      <c r="C325" t="s">
        <v>14</v>
      </c>
      <c r="D325" t="s">
        <v>10</v>
      </c>
      <c r="E325" t="s">
        <v>77</v>
      </c>
      <c r="F325">
        <v>38.700000000000003</v>
      </c>
      <c r="G325" t="s">
        <v>16</v>
      </c>
      <c r="H325" s="2">
        <v>45400</v>
      </c>
    </row>
    <row r="326" spans="1:8" x14ac:dyDescent="0.25">
      <c r="A326" t="s">
        <v>467</v>
      </c>
      <c r="B326" s="1">
        <v>0.82001104166666672</v>
      </c>
      <c r="C326" t="s">
        <v>14</v>
      </c>
      <c r="D326" t="s">
        <v>10</v>
      </c>
      <c r="E326" t="s">
        <v>35</v>
      </c>
      <c r="F326">
        <v>38.700000000000003</v>
      </c>
      <c r="G326" t="s">
        <v>16</v>
      </c>
      <c r="H326" s="2">
        <v>45400</v>
      </c>
    </row>
    <row r="327" spans="1:8" x14ac:dyDescent="0.25">
      <c r="A327" t="s">
        <v>468</v>
      </c>
      <c r="B327" s="1">
        <v>0.42403071759259259</v>
      </c>
      <c r="C327" t="s">
        <v>9</v>
      </c>
      <c r="D327" t="s">
        <v>10</v>
      </c>
      <c r="E327" t="s">
        <v>11</v>
      </c>
      <c r="F327">
        <v>38.700000000000003</v>
      </c>
      <c r="G327" t="s">
        <v>12</v>
      </c>
      <c r="H327" s="2">
        <v>45401</v>
      </c>
    </row>
    <row r="328" spans="1:8" x14ac:dyDescent="0.25">
      <c r="A328" t="s">
        <v>469</v>
      </c>
      <c r="B328" s="1">
        <v>0.54985935185185186</v>
      </c>
      <c r="C328" t="s">
        <v>14</v>
      </c>
      <c r="D328" t="s">
        <v>10</v>
      </c>
      <c r="E328" t="s">
        <v>124</v>
      </c>
      <c r="F328">
        <v>33.799999999999997</v>
      </c>
      <c r="G328" t="s">
        <v>25</v>
      </c>
      <c r="H328" s="2">
        <v>45401</v>
      </c>
    </row>
    <row r="329" spans="1:8" x14ac:dyDescent="0.25">
      <c r="A329" t="s">
        <v>470</v>
      </c>
      <c r="B329" s="1">
        <v>0.55093606481481483</v>
      </c>
      <c r="C329" t="s">
        <v>14</v>
      </c>
      <c r="D329" t="s">
        <v>10</v>
      </c>
      <c r="E329" t="s">
        <v>124</v>
      </c>
      <c r="F329">
        <v>38.700000000000003</v>
      </c>
      <c r="G329" t="s">
        <v>93</v>
      </c>
      <c r="H329" s="2">
        <v>45401</v>
      </c>
    </row>
    <row r="330" spans="1:8" x14ac:dyDescent="0.25">
      <c r="A330" t="s">
        <v>471</v>
      </c>
      <c r="B330" s="1">
        <v>0.58257018518518522</v>
      </c>
      <c r="C330" t="s">
        <v>14</v>
      </c>
      <c r="D330" t="s">
        <v>10</v>
      </c>
      <c r="E330" t="s">
        <v>472</v>
      </c>
      <c r="F330">
        <v>38.700000000000003</v>
      </c>
      <c r="G330" t="s">
        <v>16</v>
      </c>
      <c r="H330" s="2">
        <v>45401</v>
      </c>
    </row>
    <row r="331" spans="1:8" x14ac:dyDescent="0.25">
      <c r="A331" t="s">
        <v>473</v>
      </c>
      <c r="B331" s="1">
        <v>0.58321400462962958</v>
      </c>
      <c r="C331" t="s">
        <v>14</v>
      </c>
      <c r="D331" t="s">
        <v>10</v>
      </c>
      <c r="E331" t="s">
        <v>472</v>
      </c>
      <c r="F331">
        <v>38.700000000000003</v>
      </c>
      <c r="G331" t="s">
        <v>93</v>
      </c>
      <c r="H331" s="2">
        <v>45401</v>
      </c>
    </row>
    <row r="332" spans="1:8" x14ac:dyDescent="0.25">
      <c r="A332" t="s">
        <v>474</v>
      </c>
      <c r="B332" s="1">
        <v>0.76619572916666667</v>
      </c>
      <c r="C332" t="s">
        <v>14</v>
      </c>
      <c r="D332" t="s">
        <v>10</v>
      </c>
      <c r="E332" t="s">
        <v>77</v>
      </c>
      <c r="F332">
        <v>38.700000000000003</v>
      </c>
      <c r="G332" t="s">
        <v>32</v>
      </c>
      <c r="H332" s="2">
        <v>45401</v>
      </c>
    </row>
    <row r="333" spans="1:8" x14ac:dyDescent="0.25">
      <c r="A333" t="s">
        <v>475</v>
      </c>
      <c r="B333" s="1">
        <v>0.76774814814814818</v>
      </c>
      <c r="C333" t="s">
        <v>14</v>
      </c>
      <c r="D333" t="s">
        <v>10</v>
      </c>
      <c r="E333" t="s">
        <v>35</v>
      </c>
      <c r="F333">
        <v>33.799999999999997</v>
      </c>
      <c r="G333" t="s">
        <v>25</v>
      </c>
      <c r="H333" s="2">
        <v>45401</v>
      </c>
    </row>
    <row r="334" spans="1:8" x14ac:dyDescent="0.25">
      <c r="A334" t="s">
        <v>476</v>
      </c>
      <c r="B334" s="1">
        <v>0.47549399305555556</v>
      </c>
      <c r="C334" t="s">
        <v>9</v>
      </c>
      <c r="D334" t="s">
        <v>39</v>
      </c>
      <c r="E334" t="s">
        <v>39</v>
      </c>
      <c r="F334">
        <v>35</v>
      </c>
      <c r="G334" t="s">
        <v>25</v>
      </c>
      <c r="H334" s="2">
        <v>45402</v>
      </c>
    </row>
    <row r="335" spans="1:8" x14ac:dyDescent="0.25">
      <c r="A335" t="s">
        <v>477</v>
      </c>
      <c r="B335" s="1">
        <v>0.50596876157407411</v>
      </c>
      <c r="C335" t="s">
        <v>14</v>
      </c>
      <c r="D335" t="s">
        <v>10</v>
      </c>
      <c r="E335" t="s">
        <v>478</v>
      </c>
      <c r="F335">
        <v>33.799999999999997</v>
      </c>
      <c r="G335" t="s">
        <v>25</v>
      </c>
      <c r="H335" s="2">
        <v>45402</v>
      </c>
    </row>
    <row r="336" spans="1:8" x14ac:dyDescent="0.25">
      <c r="A336" t="s">
        <v>479</v>
      </c>
      <c r="B336" s="1">
        <v>0.50674379629629629</v>
      </c>
      <c r="C336" t="s">
        <v>14</v>
      </c>
      <c r="D336" t="s">
        <v>10</v>
      </c>
      <c r="E336" t="s">
        <v>478</v>
      </c>
      <c r="F336">
        <v>33.799999999999997</v>
      </c>
      <c r="G336" t="s">
        <v>25</v>
      </c>
      <c r="H336" s="2">
        <v>45402</v>
      </c>
    </row>
    <row r="337" spans="1:8" x14ac:dyDescent="0.25">
      <c r="A337" t="s">
        <v>480</v>
      </c>
      <c r="B337" s="1">
        <v>0.54765483796296299</v>
      </c>
      <c r="C337" t="s">
        <v>14</v>
      </c>
      <c r="D337" t="s">
        <v>10</v>
      </c>
      <c r="E337" t="s">
        <v>443</v>
      </c>
      <c r="F337">
        <v>28.9</v>
      </c>
      <c r="G337" t="s">
        <v>20</v>
      </c>
      <c r="H337" s="2">
        <v>45402</v>
      </c>
    </row>
    <row r="338" spans="1:8" x14ac:dyDescent="0.25">
      <c r="A338" t="s">
        <v>481</v>
      </c>
      <c r="B338" s="1">
        <v>0.54847112268518516</v>
      </c>
      <c r="C338" t="s">
        <v>14</v>
      </c>
      <c r="D338" t="s">
        <v>10</v>
      </c>
      <c r="E338" t="s">
        <v>443</v>
      </c>
      <c r="F338">
        <v>33.799999999999997</v>
      </c>
      <c r="G338" t="s">
        <v>25</v>
      </c>
      <c r="H338" s="2">
        <v>45402</v>
      </c>
    </row>
    <row r="339" spans="1:8" x14ac:dyDescent="0.25">
      <c r="A339" t="s">
        <v>482</v>
      </c>
      <c r="B339" s="1">
        <v>0.54924943287037042</v>
      </c>
      <c r="C339" t="s">
        <v>14</v>
      </c>
      <c r="D339" t="s">
        <v>10</v>
      </c>
      <c r="E339" t="s">
        <v>443</v>
      </c>
      <c r="F339">
        <v>38.700000000000003</v>
      </c>
      <c r="G339" t="s">
        <v>16</v>
      </c>
      <c r="H339" s="2">
        <v>45402</v>
      </c>
    </row>
    <row r="340" spans="1:8" x14ac:dyDescent="0.25">
      <c r="A340" t="s">
        <v>483</v>
      </c>
      <c r="B340" s="1">
        <v>0.61409858796296302</v>
      </c>
      <c r="C340" t="s">
        <v>14</v>
      </c>
      <c r="D340" t="s">
        <v>10</v>
      </c>
      <c r="E340" t="s">
        <v>124</v>
      </c>
      <c r="F340">
        <v>38.700000000000003</v>
      </c>
      <c r="G340" t="s">
        <v>93</v>
      </c>
      <c r="H340" s="2">
        <v>45402</v>
      </c>
    </row>
    <row r="341" spans="1:8" x14ac:dyDescent="0.25">
      <c r="A341" t="s">
        <v>484</v>
      </c>
      <c r="B341" s="1">
        <v>0.63264270833333336</v>
      </c>
      <c r="C341" t="s">
        <v>14</v>
      </c>
      <c r="D341" t="s">
        <v>10</v>
      </c>
      <c r="E341" t="s">
        <v>35</v>
      </c>
      <c r="F341">
        <v>33.799999999999997</v>
      </c>
      <c r="G341" t="s">
        <v>25</v>
      </c>
      <c r="H341" s="2">
        <v>45402</v>
      </c>
    </row>
    <row r="342" spans="1:8" x14ac:dyDescent="0.25">
      <c r="A342" t="s">
        <v>485</v>
      </c>
      <c r="B342" s="1">
        <v>0.6407490393518519</v>
      </c>
      <c r="C342" t="s">
        <v>14</v>
      </c>
      <c r="D342" t="s">
        <v>10</v>
      </c>
      <c r="E342" t="s">
        <v>43</v>
      </c>
      <c r="F342">
        <v>32.82</v>
      </c>
      <c r="G342" t="s">
        <v>25</v>
      </c>
      <c r="H342" s="2">
        <v>45402</v>
      </c>
    </row>
    <row r="343" spans="1:8" x14ac:dyDescent="0.25">
      <c r="A343" t="s">
        <v>486</v>
      </c>
      <c r="B343" s="1">
        <v>0.65931884259259255</v>
      </c>
      <c r="C343" t="s">
        <v>14</v>
      </c>
      <c r="D343" t="s">
        <v>10</v>
      </c>
      <c r="E343" t="s">
        <v>487</v>
      </c>
      <c r="F343">
        <v>32.82</v>
      </c>
      <c r="G343" t="s">
        <v>25</v>
      </c>
      <c r="H343" s="2">
        <v>45402</v>
      </c>
    </row>
    <row r="344" spans="1:8" x14ac:dyDescent="0.25">
      <c r="A344" t="s">
        <v>488</v>
      </c>
      <c r="B344" s="1">
        <v>0.71386538194444449</v>
      </c>
      <c r="C344" t="s">
        <v>14</v>
      </c>
      <c r="D344" t="s">
        <v>39</v>
      </c>
      <c r="E344" t="s">
        <v>39</v>
      </c>
      <c r="F344">
        <v>39</v>
      </c>
      <c r="G344" t="s">
        <v>32</v>
      </c>
      <c r="H344" s="2">
        <v>45402</v>
      </c>
    </row>
    <row r="345" spans="1:8" x14ac:dyDescent="0.25">
      <c r="A345" t="s">
        <v>489</v>
      </c>
      <c r="B345" s="1">
        <v>0.76923027777777775</v>
      </c>
      <c r="C345" t="s">
        <v>14</v>
      </c>
      <c r="D345" t="s">
        <v>10</v>
      </c>
      <c r="E345" t="s">
        <v>490</v>
      </c>
      <c r="F345">
        <v>37.72</v>
      </c>
      <c r="G345" t="s">
        <v>93</v>
      </c>
      <c r="H345" s="2">
        <v>45402</v>
      </c>
    </row>
    <row r="346" spans="1:8" x14ac:dyDescent="0.25">
      <c r="A346" t="s">
        <v>491</v>
      </c>
      <c r="B346" s="1">
        <v>0.76998726851851851</v>
      </c>
      <c r="C346" t="s">
        <v>14</v>
      </c>
      <c r="D346" t="s">
        <v>10</v>
      </c>
      <c r="E346" t="s">
        <v>490</v>
      </c>
      <c r="F346">
        <v>37.72</v>
      </c>
      <c r="G346" t="s">
        <v>93</v>
      </c>
      <c r="H346" s="2">
        <v>45402</v>
      </c>
    </row>
    <row r="347" spans="1:8" x14ac:dyDescent="0.25">
      <c r="A347" t="s">
        <v>492</v>
      </c>
      <c r="B347" s="1">
        <v>0.81314024305555554</v>
      </c>
      <c r="C347" t="s">
        <v>14</v>
      </c>
      <c r="D347" t="s">
        <v>10</v>
      </c>
      <c r="E347" t="s">
        <v>493</v>
      </c>
      <c r="F347">
        <v>37.72</v>
      </c>
      <c r="G347" t="s">
        <v>12</v>
      </c>
      <c r="H347" s="2">
        <v>45402</v>
      </c>
    </row>
    <row r="348" spans="1:8" x14ac:dyDescent="0.25">
      <c r="A348" t="s">
        <v>494</v>
      </c>
      <c r="B348" s="1">
        <v>0.46997346064814816</v>
      </c>
      <c r="C348" t="s">
        <v>9</v>
      </c>
      <c r="D348" t="s">
        <v>10</v>
      </c>
      <c r="E348" t="s">
        <v>11</v>
      </c>
      <c r="F348">
        <v>37.72</v>
      </c>
      <c r="G348" t="s">
        <v>12</v>
      </c>
      <c r="H348" s="2">
        <v>45403</v>
      </c>
    </row>
    <row r="349" spans="1:8" x14ac:dyDescent="0.25">
      <c r="A349" t="s">
        <v>495</v>
      </c>
      <c r="B349" s="1">
        <v>0.59418450231481479</v>
      </c>
      <c r="C349" t="s">
        <v>14</v>
      </c>
      <c r="D349" t="s">
        <v>10</v>
      </c>
      <c r="E349" t="s">
        <v>356</v>
      </c>
      <c r="F349">
        <v>27.92</v>
      </c>
      <c r="G349" t="s">
        <v>20</v>
      </c>
      <c r="H349" s="2">
        <v>45403</v>
      </c>
    </row>
    <row r="350" spans="1:8" x14ac:dyDescent="0.25">
      <c r="A350" t="s">
        <v>496</v>
      </c>
      <c r="B350" s="1">
        <v>0.71462035879629626</v>
      </c>
      <c r="C350" t="s">
        <v>14</v>
      </c>
      <c r="D350" t="s">
        <v>39</v>
      </c>
      <c r="E350" t="s">
        <v>39</v>
      </c>
      <c r="F350">
        <v>39</v>
      </c>
      <c r="G350" t="s">
        <v>93</v>
      </c>
      <c r="H350" s="2">
        <v>45403</v>
      </c>
    </row>
    <row r="351" spans="1:8" x14ac:dyDescent="0.25">
      <c r="A351" t="s">
        <v>497</v>
      </c>
      <c r="B351" s="1">
        <v>0.46477328703703702</v>
      </c>
      <c r="C351" t="s">
        <v>9</v>
      </c>
      <c r="D351" t="s">
        <v>10</v>
      </c>
      <c r="E351" t="s">
        <v>43</v>
      </c>
      <c r="F351">
        <v>27.92</v>
      </c>
      <c r="G351" t="s">
        <v>20</v>
      </c>
      <c r="H351" s="2">
        <v>45404</v>
      </c>
    </row>
    <row r="352" spans="1:8" x14ac:dyDescent="0.25">
      <c r="A352" t="s">
        <v>498</v>
      </c>
      <c r="B352" s="1">
        <v>0.47878586805555556</v>
      </c>
      <c r="C352" t="s">
        <v>9</v>
      </c>
      <c r="D352" t="s">
        <v>10</v>
      </c>
      <c r="E352" t="s">
        <v>499</v>
      </c>
      <c r="F352">
        <v>32.82</v>
      </c>
      <c r="G352" t="s">
        <v>25</v>
      </c>
      <c r="H352" s="2">
        <v>45404</v>
      </c>
    </row>
    <row r="353" spans="1:8" x14ac:dyDescent="0.25">
      <c r="A353" t="s">
        <v>500</v>
      </c>
      <c r="B353" s="1">
        <v>0.77815999999999996</v>
      </c>
      <c r="C353" t="s">
        <v>14</v>
      </c>
      <c r="D353" t="s">
        <v>39</v>
      </c>
      <c r="E353" t="s">
        <v>39</v>
      </c>
      <c r="F353">
        <v>39</v>
      </c>
      <c r="G353" t="s">
        <v>12</v>
      </c>
      <c r="H353" s="2">
        <v>45404</v>
      </c>
    </row>
    <row r="354" spans="1:8" x14ac:dyDescent="0.25">
      <c r="A354" t="s">
        <v>501</v>
      </c>
      <c r="B354" s="1">
        <v>0.81880508101851857</v>
      </c>
      <c r="C354" t="s">
        <v>14</v>
      </c>
      <c r="D354" t="s">
        <v>10</v>
      </c>
      <c r="E354" t="s">
        <v>35</v>
      </c>
      <c r="F354">
        <v>37.72</v>
      </c>
      <c r="G354" t="s">
        <v>12</v>
      </c>
      <c r="H354" s="2">
        <v>45404</v>
      </c>
    </row>
    <row r="355" spans="1:8" x14ac:dyDescent="0.25">
      <c r="A355" t="s">
        <v>502</v>
      </c>
      <c r="B355" s="1">
        <v>0.83505978009259263</v>
      </c>
      <c r="C355" t="s">
        <v>14</v>
      </c>
      <c r="D355" t="s">
        <v>39</v>
      </c>
      <c r="E355" t="s">
        <v>39</v>
      </c>
      <c r="F355">
        <v>39</v>
      </c>
      <c r="G355" t="s">
        <v>93</v>
      </c>
      <c r="H355" s="2">
        <v>45404</v>
      </c>
    </row>
    <row r="356" spans="1:8" x14ac:dyDescent="0.25">
      <c r="A356" t="s">
        <v>503</v>
      </c>
      <c r="B356" s="1">
        <v>0.59902771990740744</v>
      </c>
      <c r="C356" t="s">
        <v>14</v>
      </c>
      <c r="D356" t="s">
        <v>10</v>
      </c>
      <c r="E356" t="s">
        <v>79</v>
      </c>
      <c r="F356">
        <v>37.72</v>
      </c>
      <c r="G356" t="s">
        <v>93</v>
      </c>
      <c r="H356" s="2">
        <v>45405</v>
      </c>
    </row>
    <row r="357" spans="1:8" x14ac:dyDescent="0.25">
      <c r="A357" t="s">
        <v>504</v>
      </c>
      <c r="B357" s="1">
        <v>0.59992064814814816</v>
      </c>
      <c r="C357" t="s">
        <v>14</v>
      </c>
      <c r="D357" t="s">
        <v>10</v>
      </c>
      <c r="E357" t="s">
        <v>77</v>
      </c>
      <c r="F357">
        <v>32.82</v>
      </c>
      <c r="G357" t="s">
        <v>25</v>
      </c>
      <c r="H357" s="2">
        <v>45405</v>
      </c>
    </row>
    <row r="358" spans="1:8" x14ac:dyDescent="0.25">
      <c r="A358" t="s">
        <v>505</v>
      </c>
      <c r="B358" s="1">
        <v>0.60066568287037037</v>
      </c>
      <c r="C358" t="s">
        <v>14</v>
      </c>
      <c r="D358" t="s">
        <v>10</v>
      </c>
      <c r="E358" t="s">
        <v>35</v>
      </c>
      <c r="F358">
        <v>37.72</v>
      </c>
      <c r="G358" t="s">
        <v>93</v>
      </c>
      <c r="H358" s="2">
        <v>45405</v>
      </c>
    </row>
    <row r="359" spans="1:8" x14ac:dyDescent="0.25">
      <c r="A359" t="s">
        <v>506</v>
      </c>
      <c r="B359" s="1">
        <v>0.82115468749999998</v>
      </c>
      <c r="C359" t="s">
        <v>14</v>
      </c>
      <c r="D359" t="s">
        <v>10</v>
      </c>
      <c r="E359" t="s">
        <v>507</v>
      </c>
      <c r="F359">
        <v>32.82</v>
      </c>
      <c r="G359" t="s">
        <v>25</v>
      </c>
      <c r="H359" s="2">
        <v>45405</v>
      </c>
    </row>
    <row r="360" spans="1:8" x14ac:dyDescent="0.25">
      <c r="A360" t="s">
        <v>508</v>
      </c>
      <c r="B360" s="1">
        <v>0.82183141203703702</v>
      </c>
      <c r="C360" t="s">
        <v>14</v>
      </c>
      <c r="D360" t="s">
        <v>10</v>
      </c>
      <c r="E360" t="s">
        <v>507</v>
      </c>
      <c r="F360">
        <v>32.82</v>
      </c>
      <c r="G360" t="s">
        <v>25</v>
      </c>
      <c r="H360" s="2">
        <v>45405</v>
      </c>
    </row>
    <row r="361" spans="1:8" x14ac:dyDescent="0.25">
      <c r="A361" t="s">
        <v>509</v>
      </c>
      <c r="B361" s="1">
        <v>0.43030493055555558</v>
      </c>
      <c r="C361" t="s">
        <v>9</v>
      </c>
      <c r="D361" t="s">
        <v>10</v>
      </c>
      <c r="E361" t="s">
        <v>11</v>
      </c>
      <c r="F361">
        <v>37.72</v>
      </c>
      <c r="G361" t="s">
        <v>12</v>
      </c>
      <c r="H361" s="2">
        <v>45406</v>
      </c>
    </row>
    <row r="362" spans="1:8" x14ac:dyDescent="0.25">
      <c r="A362" t="s">
        <v>510</v>
      </c>
      <c r="B362" s="1">
        <v>0.43156582175925928</v>
      </c>
      <c r="C362" t="s">
        <v>9</v>
      </c>
      <c r="D362" t="s">
        <v>10</v>
      </c>
      <c r="E362" t="s">
        <v>511</v>
      </c>
      <c r="F362">
        <v>32.82</v>
      </c>
      <c r="G362" t="s">
        <v>25</v>
      </c>
      <c r="H362" s="2">
        <v>45406</v>
      </c>
    </row>
    <row r="363" spans="1:8" x14ac:dyDescent="0.25">
      <c r="A363" t="s">
        <v>512</v>
      </c>
      <c r="B363" s="1">
        <v>0.47483914351851852</v>
      </c>
      <c r="C363" t="s">
        <v>9</v>
      </c>
      <c r="D363" t="s">
        <v>10</v>
      </c>
      <c r="E363" t="s">
        <v>513</v>
      </c>
      <c r="F363">
        <v>32.82</v>
      </c>
      <c r="G363" t="s">
        <v>25</v>
      </c>
      <c r="H363" s="2">
        <v>45406</v>
      </c>
    </row>
    <row r="364" spans="1:8" x14ac:dyDescent="0.25">
      <c r="A364" t="s">
        <v>514</v>
      </c>
      <c r="B364" s="1">
        <v>0.48155494212962963</v>
      </c>
      <c r="C364" t="s">
        <v>9</v>
      </c>
      <c r="D364" t="s">
        <v>10</v>
      </c>
      <c r="E364" t="s">
        <v>515</v>
      </c>
      <c r="F364">
        <v>32.82</v>
      </c>
      <c r="G364" t="s">
        <v>25</v>
      </c>
      <c r="H364" s="2">
        <v>45406</v>
      </c>
    </row>
    <row r="365" spans="1:8" x14ac:dyDescent="0.25">
      <c r="A365" t="s">
        <v>516</v>
      </c>
      <c r="B365" s="1">
        <v>0.52719094907407404</v>
      </c>
      <c r="C365" t="s">
        <v>14</v>
      </c>
      <c r="D365" t="s">
        <v>10</v>
      </c>
      <c r="E365" t="s">
        <v>192</v>
      </c>
      <c r="F365">
        <v>32.82</v>
      </c>
      <c r="G365" t="s">
        <v>25</v>
      </c>
      <c r="H365" s="2">
        <v>45406</v>
      </c>
    </row>
    <row r="366" spans="1:8" x14ac:dyDescent="0.25">
      <c r="A366" t="s">
        <v>517</v>
      </c>
      <c r="B366" s="1">
        <v>0.69383591435185188</v>
      </c>
      <c r="C366" t="s">
        <v>14</v>
      </c>
      <c r="D366" t="s">
        <v>10</v>
      </c>
      <c r="E366" t="s">
        <v>35</v>
      </c>
      <c r="F366">
        <v>32.82</v>
      </c>
      <c r="G366" t="s">
        <v>25</v>
      </c>
      <c r="H366" s="2">
        <v>45406</v>
      </c>
    </row>
    <row r="367" spans="1:8" x14ac:dyDescent="0.25">
      <c r="A367" t="s">
        <v>518</v>
      </c>
      <c r="B367" s="1">
        <v>0.81932850694444448</v>
      </c>
      <c r="C367" t="s">
        <v>14</v>
      </c>
      <c r="D367" t="s">
        <v>10</v>
      </c>
      <c r="E367" t="s">
        <v>519</v>
      </c>
      <c r="F367">
        <v>32.82</v>
      </c>
      <c r="G367" t="s">
        <v>25</v>
      </c>
      <c r="H367" s="2">
        <v>45406</v>
      </c>
    </row>
    <row r="368" spans="1:8" x14ac:dyDescent="0.25">
      <c r="A368" t="s">
        <v>520</v>
      </c>
      <c r="B368" s="1">
        <v>0.82006980324074075</v>
      </c>
      <c r="C368" t="s">
        <v>14</v>
      </c>
      <c r="D368" t="s">
        <v>10</v>
      </c>
      <c r="E368" t="s">
        <v>519</v>
      </c>
      <c r="F368">
        <v>37.72</v>
      </c>
      <c r="G368" t="s">
        <v>93</v>
      </c>
      <c r="H368" s="2">
        <v>45406</v>
      </c>
    </row>
    <row r="369" spans="1:8" x14ac:dyDescent="0.25">
      <c r="A369" t="s">
        <v>521</v>
      </c>
      <c r="B369" s="1">
        <v>0.4487043634259259</v>
      </c>
      <c r="C369" t="s">
        <v>9</v>
      </c>
      <c r="D369" t="s">
        <v>10</v>
      </c>
      <c r="E369" t="s">
        <v>522</v>
      </c>
      <c r="F369">
        <v>27.92</v>
      </c>
      <c r="G369" t="s">
        <v>20</v>
      </c>
      <c r="H369" s="2">
        <v>45407</v>
      </c>
    </row>
    <row r="370" spans="1:8" x14ac:dyDescent="0.25">
      <c r="A370" t="s">
        <v>523</v>
      </c>
      <c r="B370" s="1">
        <v>0.63781216435185184</v>
      </c>
      <c r="C370" t="s">
        <v>14</v>
      </c>
      <c r="D370" t="s">
        <v>10</v>
      </c>
      <c r="E370" t="s">
        <v>35</v>
      </c>
      <c r="F370">
        <v>37.72</v>
      </c>
      <c r="G370" t="s">
        <v>12</v>
      </c>
      <c r="H370" s="2">
        <v>45407</v>
      </c>
    </row>
    <row r="371" spans="1:8" x14ac:dyDescent="0.25">
      <c r="A371" t="s">
        <v>524</v>
      </c>
      <c r="B371" s="1">
        <v>0.71508719907407403</v>
      </c>
      <c r="C371" t="s">
        <v>14</v>
      </c>
      <c r="D371" t="s">
        <v>10</v>
      </c>
      <c r="E371" t="s">
        <v>43</v>
      </c>
      <c r="F371">
        <v>27.92</v>
      </c>
      <c r="G371" t="s">
        <v>20</v>
      </c>
      <c r="H371" s="2">
        <v>45407</v>
      </c>
    </row>
    <row r="372" spans="1:8" x14ac:dyDescent="0.25">
      <c r="A372" t="s">
        <v>525</v>
      </c>
      <c r="B372" s="1">
        <v>0.71584667824074077</v>
      </c>
      <c r="C372" t="s">
        <v>14</v>
      </c>
      <c r="D372" t="s">
        <v>10</v>
      </c>
      <c r="E372" t="s">
        <v>43</v>
      </c>
      <c r="F372">
        <v>27.92</v>
      </c>
      <c r="G372" t="s">
        <v>20</v>
      </c>
      <c r="H372" s="2">
        <v>45407</v>
      </c>
    </row>
    <row r="373" spans="1:8" x14ac:dyDescent="0.25">
      <c r="A373" t="s">
        <v>526</v>
      </c>
      <c r="B373" s="1">
        <v>0.42558585648148151</v>
      </c>
      <c r="C373" t="s">
        <v>9</v>
      </c>
      <c r="D373" t="s">
        <v>10</v>
      </c>
      <c r="E373" t="s">
        <v>11</v>
      </c>
      <c r="F373">
        <v>37.72</v>
      </c>
      <c r="G373" t="s">
        <v>12</v>
      </c>
      <c r="H373" s="2">
        <v>45408</v>
      </c>
    </row>
    <row r="374" spans="1:8" x14ac:dyDescent="0.25">
      <c r="A374" t="s">
        <v>527</v>
      </c>
      <c r="B374" s="1">
        <v>0.50104837962962967</v>
      </c>
      <c r="C374" t="s">
        <v>14</v>
      </c>
      <c r="D374" t="s">
        <v>10</v>
      </c>
      <c r="E374" t="s">
        <v>528</v>
      </c>
      <c r="F374">
        <v>37.72</v>
      </c>
      <c r="G374" t="s">
        <v>12</v>
      </c>
      <c r="H374" s="2">
        <v>45408</v>
      </c>
    </row>
    <row r="375" spans="1:8" x14ac:dyDescent="0.25">
      <c r="A375" t="s">
        <v>529</v>
      </c>
      <c r="B375" s="1">
        <v>0.56352195601851851</v>
      </c>
      <c r="C375" t="s">
        <v>14</v>
      </c>
      <c r="D375" t="s">
        <v>10</v>
      </c>
      <c r="E375" t="s">
        <v>530</v>
      </c>
      <c r="F375">
        <v>37.72</v>
      </c>
      <c r="G375" t="s">
        <v>93</v>
      </c>
      <c r="H375" s="2">
        <v>45408</v>
      </c>
    </row>
    <row r="376" spans="1:8" x14ac:dyDescent="0.25">
      <c r="A376" t="s">
        <v>531</v>
      </c>
      <c r="B376" s="1">
        <v>0.64763182870370373</v>
      </c>
      <c r="C376" t="s">
        <v>14</v>
      </c>
      <c r="D376" t="s">
        <v>10</v>
      </c>
      <c r="E376" t="s">
        <v>43</v>
      </c>
      <c r="F376">
        <v>27.92</v>
      </c>
      <c r="G376" t="s">
        <v>20</v>
      </c>
      <c r="H376" s="2">
        <v>45408</v>
      </c>
    </row>
    <row r="377" spans="1:8" x14ac:dyDescent="0.25">
      <c r="A377" t="s">
        <v>532</v>
      </c>
      <c r="B377" s="1">
        <v>0.64830013888888893</v>
      </c>
      <c r="C377" t="s">
        <v>14</v>
      </c>
      <c r="D377" t="s">
        <v>10</v>
      </c>
      <c r="E377" t="s">
        <v>43</v>
      </c>
      <c r="F377">
        <v>27.92</v>
      </c>
      <c r="G377" t="s">
        <v>20</v>
      </c>
      <c r="H377" s="2">
        <v>45408</v>
      </c>
    </row>
    <row r="378" spans="1:8" x14ac:dyDescent="0.25">
      <c r="A378" t="s">
        <v>533</v>
      </c>
      <c r="B378" s="1">
        <v>0.68294576388888883</v>
      </c>
      <c r="C378" t="s">
        <v>14</v>
      </c>
      <c r="D378" t="s">
        <v>10</v>
      </c>
      <c r="E378" t="s">
        <v>534</v>
      </c>
      <c r="F378">
        <v>27.92</v>
      </c>
      <c r="G378" t="s">
        <v>54</v>
      </c>
      <c r="H378" s="2">
        <v>45408</v>
      </c>
    </row>
    <row r="379" spans="1:8" x14ac:dyDescent="0.25">
      <c r="A379" t="s">
        <v>535</v>
      </c>
      <c r="B379" s="1">
        <v>0.68372453703703706</v>
      </c>
      <c r="C379" t="s">
        <v>14</v>
      </c>
      <c r="D379" t="s">
        <v>10</v>
      </c>
      <c r="E379" t="s">
        <v>536</v>
      </c>
      <c r="F379">
        <v>27.92</v>
      </c>
      <c r="G379" t="s">
        <v>20</v>
      </c>
      <c r="H379" s="2">
        <v>45408</v>
      </c>
    </row>
    <row r="380" spans="1:8" x14ac:dyDescent="0.25">
      <c r="A380" t="s">
        <v>537</v>
      </c>
      <c r="B380" s="1">
        <v>0.81397120370370368</v>
      </c>
      <c r="C380" t="s">
        <v>14</v>
      </c>
      <c r="D380" t="s">
        <v>10</v>
      </c>
      <c r="E380" t="s">
        <v>35</v>
      </c>
      <c r="F380">
        <v>37.72</v>
      </c>
      <c r="G380" t="s">
        <v>16</v>
      </c>
      <c r="H380" s="2">
        <v>45408</v>
      </c>
    </row>
    <row r="381" spans="1:8" x14ac:dyDescent="0.25">
      <c r="A381" t="s">
        <v>538</v>
      </c>
      <c r="B381" s="1">
        <v>0.81493310185185186</v>
      </c>
      <c r="C381" t="s">
        <v>14</v>
      </c>
      <c r="D381" t="s">
        <v>10</v>
      </c>
      <c r="E381" t="s">
        <v>35</v>
      </c>
      <c r="F381">
        <v>37.72</v>
      </c>
      <c r="G381" t="s">
        <v>32</v>
      </c>
      <c r="H381" s="2">
        <v>45408</v>
      </c>
    </row>
    <row r="382" spans="1:8" x14ac:dyDescent="0.25">
      <c r="A382" t="s">
        <v>539</v>
      </c>
      <c r="B382" s="1">
        <v>0.64375787037037036</v>
      </c>
      <c r="C382" t="s">
        <v>14</v>
      </c>
      <c r="D382" t="s">
        <v>10</v>
      </c>
      <c r="E382" t="s">
        <v>35</v>
      </c>
      <c r="F382">
        <v>37.72</v>
      </c>
      <c r="G382" t="s">
        <v>93</v>
      </c>
      <c r="H382" s="2">
        <v>45409</v>
      </c>
    </row>
    <row r="383" spans="1:8" x14ac:dyDescent="0.25">
      <c r="A383" t="s">
        <v>540</v>
      </c>
      <c r="B383" s="1">
        <v>0.43949628472222224</v>
      </c>
      <c r="C383" t="s">
        <v>9</v>
      </c>
      <c r="D383" t="s">
        <v>10</v>
      </c>
      <c r="E383" t="s">
        <v>11</v>
      </c>
      <c r="F383">
        <v>37.72</v>
      </c>
      <c r="G383" t="s">
        <v>12</v>
      </c>
      <c r="H383" s="2">
        <v>45410</v>
      </c>
    </row>
    <row r="384" spans="1:8" x14ac:dyDescent="0.25">
      <c r="A384" t="s">
        <v>541</v>
      </c>
      <c r="B384" s="1">
        <v>0.52094616898148149</v>
      </c>
      <c r="C384" t="s">
        <v>14</v>
      </c>
      <c r="D384" t="s">
        <v>10</v>
      </c>
      <c r="E384" t="s">
        <v>542</v>
      </c>
      <c r="F384">
        <v>37.72</v>
      </c>
      <c r="G384" t="s">
        <v>93</v>
      </c>
      <c r="H384" s="2">
        <v>45410</v>
      </c>
    </row>
    <row r="385" spans="1:8" x14ac:dyDescent="0.25">
      <c r="A385" t="s">
        <v>543</v>
      </c>
      <c r="B385" s="1">
        <v>0.7688452546296296</v>
      </c>
      <c r="C385" t="s">
        <v>14</v>
      </c>
      <c r="D385" t="s">
        <v>10</v>
      </c>
      <c r="E385" t="s">
        <v>43</v>
      </c>
      <c r="F385">
        <v>27.92</v>
      </c>
      <c r="G385" t="s">
        <v>20</v>
      </c>
      <c r="H385" s="2">
        <v>45410</v>
      </c>
    </row>
    <row r="386" spans="1:8" x14ac:dyDescent="0.25">
      <c r="A386" t="s">
        <v>544</v>
      </c>
      <c r="B386" s="1">
        <v>0.76957651620370371</v>
      </c>
      <c r="C386" t="s">
        <v>14</v>
      </c>
      <c r="D386" t="s">
        <v>10</v>
      </c>
      <c r="E386" t="s">
        <v>43</v>
      </c>
      <c r="F386">
        <v>27.92</v>
      </c>
      <c r="G386" t="s">
        <v>20</v>
      </c>
      <c r="H386" s="2">
        <v>45410</v>
      </c>
    </row>
    <row r="387" spans="1:8" x14ac:dyDescent="0.25">
      <c r="A387" t="s">
        <v>545</v>
      </c>
      <c r="B387" s="1">
        <v>0.77016636574074071</v>
      </c>
      <c r="C387" t="s">
        <v>14</v>
      </c>
      <c r="D387" t="s">
        <v>10</v>
      </c>
      <c r="E387" t="s">
        <v>61</v>
      </c>
      <c r="F387">
        <v>37.72</v>
      </c>
      <c r="G387" t="s">
        <v>12</v>
      </c>
      <c r="H387" s="2">
        <v>45410</v>
      </c>
    </row>
    <row r="388" spans="1:8" x14ac:dyDescent="0.25">
      <c r="A388" t="s">
        <v>546</v>
      </c>
      <c r="B388" s="1">
        <v>0.47675776620370369</v>
      </c>
      <c r="C388" t="s">
        <v>9</v>
      </c>
      <c r="D388" t="s">
        <v>10</v>
      </c>
      <c r="E388" t="s">
        <v>547</v>
      </c>
      <c r="F388">
        <v>27.92</v>
      </c>
      <c r="G388" t="s">
        <v>54</v>
      </c>
      <c r="H388" s="2">
        <v>45411</v>
      </c>
    </row>
    <row r="389" spans="1:8" x14ac:dyDescent="0.25">
      <c r="A389" t="s">
        <v>548</v>
      </c>
      <c r="B389" s="1">
        <v>0.56107579861111112</v>
      </c>
      <c r="C389" t="s">
        <v>14</v>
      </c>
      <c r="D389" t="s">
        <v>10</v>
      </c>
      <c r="E389" t="s">
        <v>19</v>
      </c>
      <c r="F389">
        <v>27.92</v>
      </c>
      <c r="G389" t="s">
        <v>20</v>
      </c>
      <c r="H389" s="2">
        <v>45411</v>
      </c>
    </row>
    <row r="390" spans="1:8" x14ac:dyDescent="0.25">
      <c r="A390" t="s">
        <v>549</v>
      </c>
      <c r="B390" s="1">
        <v>0.5617349421296296</v>
      </c>
      <c r="C390" t="s">
        <v>14</v>
      </c>
      <c r="D390" t="s">
        <v>10</v>
      </c>
      <c r="E390" t="s">
        <v>19</v>
      </c>
      <c r="F390">
        <v>27.92</v>
      </c>
      <c r="G390" t="s">
        <v>54</v>
      </c>
      <c r="H390" s="2">
        <v>45411</v>
      </c>
    </row>
    <row r="391" spans="1:8" x14ac:dyDescent="0.25">
      <c r="A391" t="s">
        <v>550</v>
      </c>
      <c r="B391" s="1">
        <v>0.5788857638888889</v>
      </c>
      <c r="C391" t="s">
        <v>14</v>
      </c>
      <c r="D391" t="s">
        <v>10</v>
      </c>
      <c r="E391" t="s">
        <v>547</v>
      </c>
      <c r="F391">
        <v>27.92</v>
      </c>
      <c r="G391" t="s">
        <v>54</v>
      </c>
      <c r="H391" s="2">
        <v>45411</v>
      </c>
    </row>
    <row r="392" spans="1:8" x14ac:dyDescent="0.25">
      <c r="A392" t="s">
        <v>551</v>
      </c>
      <c r="B392" s="1">
        <v>0.57944857638888891</v>
      </c>
      <c r="C392" t="s">
        <v>14</v>
      </c>
      <c r="D392" t="s">
        <v>10</v>
      </c>
      <c r="E392" t="s">
        <v>547</v>
      </c>
      <c r="F392">
        <v>32.82</v>
      </c>
      <c r="G392" t="s">
        <v>25</v>
      </c>
      <c r="H392" s="2">
        <v>45411</v>
      </c>
    </row>
    <row r="393" spans="1:8" x14ac:dyDescent="0.25">
      <c r="A393" t="s">
        <v>552</v>
      </c>
      <c r="B393" s="1">
        <v>0.77625469907407407</v>
      </c>
      <c r="C393" t="s">
        <v>14</v>
      </c>
      <c r="D393" t="s">
        <v>10</v>
      </c>
      <c r="E393" t="s">
        <v>542</v>
      </c>
      <c r="F393">
        <v>37.72</v>
      </c>
      <c r="G393" t="s">
        <v>93</v>
      </c>
      <c r="H393" s="2">
        <v>45411</v>
      </c>
    </row>
    <row r="394" spans="1:8" x14ac:dyDescent="0.25">
      <c r="A394" t="s">
        <v>553</v>
      </c>
      <c r="B394" s="1">
        <v>0.80038418981481485</v>
      </c>
      <c r="C394" t="s">
        <v>14</v>
      </c>
      <c r="D394" t="s">
        <v>10</v>
      </c>
      <c r="E394" t="s">
        <v>519</v>
      </c>
      <c r="F394">
        <v>37.72</v>
      </c>
      <c r="G394" t="s">
        <v>93</v>
      </c>
      <c r="H394" s="2">
        <v>45411</v>
      </c>
    </row>
    <row r="395" spans="1:8" x14ac:dyDescent="0.25">
      <c r="A395" t="s">
        <v>554</v>
      </c>
      <c r="B395" s="1">
        <v>0.80113284722222222</v>
      </c>
      <c r="C395" t="s">
        <v>14</v>
      </c>
      <c r="D395" t="s">
        <v>10</v>
      </c>
      <c r="E395" t="s">
        <v>519</v>
      </c>
      <c r="F395">
        <v>37.72</v>
      </c>
      <c r="G395" t="s">
        <v>93</v>
      </c>
      <c r="H395" s="2">
        <v>45411</v>
      </c>
    </row>
    <row r="396" spans="1:8" x14ac:dyDescent="0.25">
      <c r="A396" t="s">
        <v>555</v>
      </c>
      <c r="B396" s="1">
        <v>0.42825802083333331</v>
      </c>
      <c r="C396" t="s">
        <v>9</v>
      </c>
      <c r="D396" t="s">
        <v>10</v>
      </c>
      <c r="E396" t="s">
        <v>556</v>
      </c>
      <c r="F396">
        <v>37.72</v>
      </c>
      <c r="G396" t="s">
        <v>12</v>
      </c>
      <c r="H396" s="2">
        <v>45412</v>
      </c>
    </row>
    <row r="397" spans="1:8" x14ac:dyDescent="0.25">
      <c r="A397" t="s">
        <v>557</v>
      </c>
      <c r="B397" s="1">
        <v>0.44088252314814813</v>
      </c>
      <c r="C397" t="s">
        <v>9</v>
      </c>
      <c r="D397" t="s">
        <v>10</v>
      </c>
      <c r="E397" t="s">
        <v>556</v>
      </c>
      <c r="F397">
        <v>32.82</v>
      </c>
      <c r="G397" t="s">
        <v>25</v>
      </c>
      <c r="H397" s="2">
        <v>45412</v>
      </c>
    </row>
    <row r="398" spans="1:8" x14ac:dyDescent="0.25">
      <c r="A398" t="s">
        <v>558</v>
      </c>
      <c r="B398" s="1">
        <v>0.44152334490740741</v>
      </c>
      <c r="C398" t="s">
        <v>9</v>
      </c>
      <c r="D398" t="s">
        <v>10</v>
      </c>
      <c r="E398" t="s">
        <v>556</v>
      </c>
      <c r="F398">
        <v>32.82</v>
      </c>
      <c r="G398" t="s">
        <v>25</v>
      </c>
      <c r="H398" s="2">
        <v>45412</v>
      </c>
    </row>
    <row r="399" spans="1:8" x14ac:dyDescent="0.25">
      <c r="A399" t="s">
        <v>559</v>
      </c>
      <c r="B399" s="1">
        <v>0.57074450231481477</v>
      </c>
      <c r="C399" t="s">
        <v>14</v>
      </c>
      <c r="D399" t="s">
        <v>10</v>
      </c>
      <c r="E399" t="s">
        <v>556</v>
      </c>
      <c r="F399">
        <v>27.92</v>
      </c>
      <c r="G399" t="s">
        <v>20</v>
      </c>
      <c r="H399" s="2">
        <v>45412</v>
      </c>
    </row>
    <row r="400" spans="1:8" x14ac:dyDescent="0.25">
      <c r="A400" t="s">
        <v>560</v>
      </c>
      <c r="B400" s="1">
        <v>0.57152751157407411</v>
      </c>
      <c r="C400" t="s">
        <v>14</v>
      </c>
      <c r="D400" t="s">
        <v>10</v>
      </c>
      <c r="E400" t="s">
        <v>556</v>
      </c>
      <c r="F400">
        <v>32.82</v>
      </c>
      <c r="G400" t="s">
        <v>25</v>
      </c>
      <c r="H400" s="2">
        <v>45412</v>
      </c>
    </row>
    <row r="401" spans="1:8" x14ac:dyDescent="0.25">
      <c r="A401" t="s">
        <v>561</v>
      </c>
      <c r="B401" s="1">
        <v>0.80507105324074069</v>
      </c>
      <c r="C401" t="s">
        <v>14</v>
      </c>
      <c r="D401" t="s">
        <v>10</v>
      </c>
      <c r="E401" t="s">
        <v>556</v>
      </c>
      <c r="F401">
        <v>37.72</v>
      </c>
      <c r="G401" t="s">
        <v>93</v>
      </c>
      <c r="H401" s="2">
        <v>45412</v>
      </c>
    </row>
    <row r="402" spans="1:8" x14ac:dyDescent="0.25">
      <c r="A402" t="s">
        <v>562</v>
      </c>
      <c r="B402" s="1">
        <v>0.81254633101851848</v>
      </c>
      <c r="C402" t="s">
        <v>14</v>
      </c>
      <c r="D402" t="s">
        <v>10</v>
      </c>
      <c r="E402" t="s">
        <v>556</v>
      </c>
      <c r="F402">
        <v>32.82</v>
      </c>
      <c r="G402" t="s">
        <v>25</v>
      </c>
      <c r="H402" s="2">
        <v>45412</v>
      </c>
    </row>
    <row r="403" spans="1:8" x14ac:dyDescent="0.25">
      <c r="A403" t="s">
        <v>563</v>
      </c>
      <c r="B403" s="1">
        <v>0.81343694444444448</v>
      </c>
      <c r="C403" t="s">
        <v>14</v>
      </c>
      <c r="D403" t="s">
        <v>10</v>
      </c>
      <c r="E403" t="s">
        <v>556</v>
      </c>
      <c r="F403">
        <v>37.72</v>
      </c>
      <c r="G403" t="s">
        <v>12</v>
      </c>
      <c r="H403" s="2">
        <v>45412</v>
      </c>
    </row>
    <row r="404" spans="1:8" x14ac:dyDescent="0.25">
      <c r="A404" t="s">
        <v>564</v>
      </c>
      <c r="B404" s="1">
        <v>0.44022854166666664</v>
      </c>
      <c r="C404" t="s">
        <v>9</v>
      </c>
      <c r="D404" t="s">
        <v>10</v>
      </c>
      <c r="E404" t="s">
        <v>565</v>
      </c>
      <c r="F404">
        <v>27.92</v>
      </c>
      <c r="G404" t="s">
        <v>20</v>
      </c>
      <c r="H404" s="2">
        <v>45414</v>
      </c>
    </row>
    <row r="405" spans="1:8" x14ac:dyDescent="0.25">
      <c r="A405" t="s">
        <v>566</v>
      </c>
      <c r="B405" s="1">
        <v>0.47913287037037039</v>
      </c>
      <c r="C405" t="s">
        <v>9</v>
      </c>
      <c r="D405" t="s">
        <v>39</v>
      </c>
      <c r="E405" t="s">
        <v>39</v>
      </c>
      <c r="F405">
        <v>39</v>
      </c>
      <c r="G405" t="s">
        <v>12</v>
      </c>
      <c r="H405" s="2">
        <v>45414</v>
      </c>
    </row>
    <row r="406" spans="1:8" x14ac:dyDescent="0.25">
      <c r="A406" t="s">
        <v>567</v>
      </c>
      <c r="B406" s="1">
        <v>0.57615622685185186</v>
      </c>
      <c r="C406" t="s">
        <v>14</v>
      </c>
      <c r="D406" t="s">
        <v>10</v>
      </c>
      <c r="E406" t="s">
        <v>515</v>
      </c>
      <c r="F406">
        <v>32.82</v>
      </c>
      <c r="G406" t="s">
        <v>25</v>
      </c>
      <c r="H406" s="2">
        <v>45414</v>
      </c>
    </row>
    <row r="407" spans="1:8" x14ac:dyDescent="0.25">
      <c r="A407" t="s">
        <v>568</v>
      </c>
      <c r="B407" s="1">
        <v>0.7752562268518518</v>
      </c>
      <c r="C407" t="s">
        <v>14</v>
      </c>
      <c r="D407" t="s">
        <v>10</v>
      </c>
      <c r="E407" t="s">
        <v>569</v>
      </c>
      <c r="F407">
        <v>37.72</v>
      </c>
      <c r="G407" t="s">
        <v>93</v>
      </c>
      <c r="H407" s="2">
        <v>45414</v>
      </c>
    </row>
    <row r="408" spans="1:8" x14ac:dyDescent="0.25">
      <c r="A408" t="s">
        <v>570</v>
      </c>
      <c r="B408" s="1">
        <v>0.77860208333333336</v>
      </c>
      <c r="C408" t="s">
        <v>14</v>
      </c>
      <c r="D408" t="s">
        <v>10</v>
      </c>
      <c r="E408" t="s">
        <v>77</v>
      </c>
      <c r="F408">
        <v>32.82</v>
      </c>
      <c r="G408" t="s">
        <v>25</v>
      </c>
      <c r="H408" s="2">
        <v>45414</v>
      </c>
    </row>
    <row r="409" spans="1:8" x14ac:dyDescent="0.25">
      <c r="A409" t="s">
        <v>571</v>
      </c>
      <c r="B409" s="1">
        <v>0.80454958333333337</v>
      </c>
      <c r="C409" t="s">
        <v>14</v>
      </c>
      <c r="D409" t="s">
        <v>10</v>
      </c>
      <c r="E409" t="s">
        <v>572</v>
      </c>
      <c r="F409">
        <v>37.72</v>
      </c>
      <c r="G409" t="s">
        <v>12</v>
      </c>
      <c r="H409" s="2">
        <v>45414</v>
      </c>
    </row>
    <row r="410" spans="1:8" x14ac:dyDescent="0.25">
      <c r="A410" t="s">
        <v>573</v>
      </c>
      <c r="B410" s="1">
        <v>0.80551341435185186</v>
      </c>
      <c r="C410" t="s">
        <v>14</v>
      </c>
      <c r="D410" t="s">
        <v>10</v>
      </c>
      <c r="E410" t="s">
        <v>572</v>
      </c>
      <c r="F410">
        <v>37.72</v>
      </c>
      <c r="G410" t="s">
        <v>93</v>
      </c>
      <c r="H410" s="2">
        <v>45414</v>
      </c>
    </row>
    <row r="411" spans="1:8" x14ac:dyDescent="0.25">
      <c r="A411" t="s">
        <v>574</v>
      </c>
      <c r="B411" s="1">
        <v>0.42492359953703701</v>
      </c>
      <c r="C411" t="s">
        <v>9</v>
      </c>
      <c r="D411" t="s">
        <v>39</v>
      </c>
      <c r="E411" t="s">
        <v>39</v>
      </c>
      <c r="F411">
        <v>39</v>
      </c>
      <c r="G411" t="s">
        <v>12</v>
      </c>
      <c r="H411" s="2">
        <v>45415</v>
      </c>
    </row>
    <row r="412" spans="1:8" x14ac:dyDescent="0.25">
      <c r="A412" t="s">
        <v>575</v>
      </c>
      <c r="B412" s="1">
        <v>0.60417734953703706</v>
      </c>
      <c r="C412" t="s">
        <v>14</v>
      </c>
      <c r="D412" t="s">
        <v>10</v>
      </c>
      <c r="E412" t="s">
        <v>576</v>
      </c>
      <c r="F412">
        <v>37.72</v>
      </c>
      <c r="G412" t="s">
        <v>12</v>
      </c>
      <c r="H412" s="2">
        <v>45415</v>
      </c>
    </row>
    <row r="413" spans="1:8" x14ac:dyDescent="0.25">
      <c r="A413" t="s">
        <v>577</v>
      </c>
      <c r="B413" s="1">
        <v>0.71070491898148147</v>
      </c>
      <c r="C413" t="s">
        <v>14</v>
      </c>
      <c r="D413" t="s">
        <v>10</v>
      </c>
      <c r="E413" t="s">
        <v>578</v>
      </c>
      <c r="F413">
        <v>37.72</v>
      </c>
      <c r="G413" t="s">
        <v>12</v>
      </c>
      <c r="H413" s="2">
        <v>45415</v>
      </c>
    </row>
    <row r="414" spans="1:8" x14ac:dyDescent="0.25">
      <c r="A414" t="s">
        <v>579</v>
      </c>
      <c r="B414" s="1">
        <v>0.42034629629629627</v>
      </c>
      <c r="C414" t="s">
        <v>9</v>
      </c>
      <c r="D414" t="s">
        <v>10</v>
      </c>
      <c r="E414" t="s">
        <v>580</v>
      </c>
      <c r="F414">
        <v>27.92</v>
      </c>
      <c r="G414" t="s">
        <v>20</v>
      </c>
      <c r="H414" s="2">
        <v>45418</v>
      </c>
    </row>
    <row r="415" spans="1:8" x14ac:dyDescent="0.25">
      <c r="A415" t="s">
        <v>581</v>
      </c>
      <c r="B415" s="1">
        <v>0.4214308449074074</v>
      </c>
      <c r="C415" t="s">
        <v>9</v>
      </c>
      <c r="D415" t="s">
        <v>10</v>
      </c>
      <c r="E415" t="s">
        <v>582</v>
      </c>
      <c r="F415">
        <v>37.72</v>
      </c>
      <c r="G415" t="s">
        <v>93</v>
      </c>
      <c r="H415" s="2">
        <v>45418</v>
      </c>
    </row>
    <row r="416" spans="1:8" x14ac:dyDescent="0.25">
      <c r="A416" t="s">
        <v>583</v>
      </c>
      <c r="B416" s="1">
        <v>0.4222900810185185</v>
      </c>
      <c r="C416" t="s">
        <v>9</v>
      </c>
      <c r="D416" t="s">
        <v>10</v>
      </c>
      <c r="E416" t="s">
        <v>582</v>
      </c>
      <c r="F416">
        <v>32.82</v>
      </c>
      <c r="G416" t="s">
        <v>25</v>
      </c>
      <c r="H416" s="2">
        <v>45418</v>
      </c>
    </row>
    <row r="417" spans="1:8" x14ac:dyDescent="0.25">
      <c r="A417" t="s">
        <v>584</v>
      </c>
      <c r="B417" s="1">
        <v>0.42300899305555556</v>
      </c>
      <c r="C417" t="s">
        <v>9</v>
      </c>
      <c r="D417" t="s">
        <v>10</v>
      </c>
      <c r="E417" t="s">
        <v>585</v>
      </c>
      <c r="F417">
        <v>27.92</v>
      </c>
      <c r="G417" t="s">
        <v>20</v>
      </c>
      <c r="H417" s="2">
        <v>45418</v>
      </c>
    </row>
    <row r="418" spans="1:8" x14ac:dyDescent="0.25">
      <c r="A418" t="s">
        <v>586</v>
      </c>
      <c r="B418" s="1">
        <v>0.44389630787037038</v>
      </c>
      <c r="C418" t="s">
        <v>9</v>
      </c>
      <c r="D418" t="s">
        <v>10</v>
      </c>
      <c r="E418" t="s">
        <v>547</v>
      </c>
      <c r="F418">
        <v>27.92</v>
      </c>
      <c r="G418" t="s">
        <v>54</v>
      </c>
      <c r="H418" s="2">
        <v>45418</v>
      </c>
    </row>
    <row r="419" spans="1:8" x14ac:dyDescent="0.25">
      <c r="A419" t="s">
        <v>587</v>
      </c>
      <c r="B419" s="1">
        <v>0.48218333333333335</v>
      </c>
      <c r="C419" t="s">
        <v>9</v>
      </c>
      <c r="D419" t="s">
        <v>39</v>
      </c>
      <c r="E419" t="s">
        <v>39</v>
      </c>
      <c r="F419">
        <v>29</v>
      </c>
      <c r="G419" t="s">
        <v>20</v>
      </c>
      <c r="H419" s="2">
        <v>45418</v>
      </c>
    </row>
    <row r="420" spans="1:8" x14ac:dyDescent="0.25">
      <c r="A420" t="s">
        <v>588</v>
      </c>
      <c r="B420" s="1">
        <v>0.55429386574074069</v>
      </c>
      <c r="C420" t="s">
        <v>14</v>
      </c>
      <c r="D420" t="s">
        <v>10</v>
      </c>
      <c r="E420" t="s">
        <v>580</v>
      </c>
      <c r="F420">
        <v>27.92</v>
      </c>
      <c r="G420" t="s">
        <v>54</v>
      </c>
      <c r="H420" s="2">
        <v>45418</v>
      </c>
    </row>
    <row r="421" spans="1:8" x14ac:dyDescent="0.25">
      <c r="A421" t="s">
        <v>589</v>
      </c>
      <c r="B421" s="1">
        <v>0.55487049768518515</v>
      </c>
      <c r="C421" t="s">
        <v>14</v>
      </c>
      <c r="D421" t="s">
        <v>10</v>
      </c>
      <c r="E421" t="s">
        <v>580</v>
      </c>
      <c r="F421">
        <v>27.92</v>
      </c>
      <c r="G421" t="s">
        <v>20</v>
      </c>
      <c r="H421" s="2">
        <v>45418</v>
      </c>
    </row>
    <row r="422" spans="1:8" x14ac:dyDescent="0.25">
      <c r="A422" t="s">
        <v>590</v>
      </c>
      <c r="B422" s="1">
        <v>0.80431700231481484</v>
      </c>
      <c r="C422" t="s">
        <v>14</v>
      </c>
      <c r="D422" t="s">
        <v>10</v>
      </c>
      <c r="E422" t="s">
        <v>591</v>
      </c>
      <c r="F422">
        <v>37.72</v>
      </c>
      <c r="G422" t="s">
        <v>93</v>
      </c>
      <c r="H422" s="2">
        <v>45418</v>
      </c>
    </row>
    <row r="423" spans="1:8" x14ac:dyDescent="0.25">
      <c r="A423" t="s">
        <v>592</v>
      </c>
      <c r="B423" s="1">
        <v>0.80543458333333329</v>
      </c>
      <c r="C423" t="s">
        <v>14</v>
      </c>
      <c r="D423" t="s">
        <v>10</v>
      </c>
      <c r="E423" t="s">
        <v>591</v>
      </c>
      <c r="F423">
        <v>37.72</v>
      </c>
      <c r="G423" t="s">
        <v>93</v>
      </c>
      <c r="H423" s="2">
        <v>45418</v>
      </c>
    </row>
    <row r="424" spans="1:8" x14ac:dyDescent="0.25">
      <c r="A424" t="s">
        <v>593</v>
      </c>
      <c r="B424" s="1">
        <v>0.4478655324074074</v>
      </c>
      <c r="C424" t="s">
        <v>9</v>
      </c>
      <c r="D424" t="s">
        <v>10</v>
      </c>
      <c r="E424" t="s">
        <v>580</v>
      </c>
      <c r="F424">
        <v>37.72</v>
      </c>
      <c r="G424" t="s">
        <v>32</v>
      </c>
      <c r="H424" s="2">
        <v>45419</v>
      </c>
    </row>
    <row r="425" spans="1:8" x14ac:dyDescent="0.25">
      <c r="A425" t="s">
        <v>594</v>
      </c>
      <c r="B425" s="1">
        <v>0.47359366898148147</v>
      </c>
      <c r="C425" t="s">
        <v>9</v>
      </c>
      <c r="D425" t="s">
        <v>10</v>
      </c>
      <c r="E425" t="s">
        <v>547</v>
      </c>
      <c r="F425">
        <v>27.92</v>
      </c>
      <c r="G425" t="s">
        <v>54</v>
      </c>
      <c r="H425" s="2">
        <v>45419</v>
      </c>
    </row>
    <row r="426" spans="1:8" x14ac:dyDescent="0.25">
      <c r="A426" t="s">
        <v>595</v>
      </c>
      <c r="B426" s="1">
        <v>0.5580433217592593</v>
      </c>
      <c r="C426" t="s">
        <v>14</v>
      </c>
      <c r="D426" t="s">
        <v>10</v>
      </c>
      <c r="E426" t="s">
        <v>262</v>
      </c>
      <c r="F426">
        <v>27.92</v>
      </c>
      <c r="G426" t="s">
        <v>54</v>
      </c>
      <c r="H426" s="2">
        <v>45419</v>
      </c>
    </row>
    <row r="427" spans="1:8" x14ac:dyDescent="0.25">
      <c r="A427" t="s">
        <v>596</v>
      </c>
      <c r="B427" s="1">
        <v>0.69592476851851848</v>
      </c>
      <c r="C427" t="s">
        <v>14</v>
      </c>
      <c r="D427" t="s">
        <v>10</v>
      </c>
      <c r="E427" t="s">
        <v>580</v>
      </c>
      <c r="F427">
        <v>37.72</v>
      </c>
      <c r="G427" t="s">
        <v>32</v>
      </c>
      <c r="H427" s="2">
        <v>45419</v>
      </c>
    </row>
    <row r="428" spans="1:8" x14ac:dyDescent="0.25">
      <c r="A428" t="s">
        <v>597</v>
      </c>
      <c r="B428" s="1">
        <v>0.70531024305555556</v>
      </c>
      <c r="C428" t="s">
        <v>14</v>
      </c>
      <c r="D428" t="s">
        <v>10</v>
      </c>
      <c r="E428" t="s">
        <v>598</v>
      </c>
      <c r="F428">
        <v>27.92</v>
      </c>
      <c r="G428" t="s">
        <v>20</v>
      </c>
      <c r="H428" s="2">
        <v>45419</v>
      </c>
    </row>
    <row r="429" spans="1:8" x14ac:dyDescent="0.25">
      <c r="A429" t="s">
        <v>599</v>
      </c>
      <c r="B429" s="1">
        <v>0.73456495370370367</v>
      </c>
      <c r="C429" t="s">
        <v>14</v>
      </c>
      <c r="D429" t="s">
        <v>10</v>
      </c>
      <c r="E429" t="s">
        <v>600</v>
      </c>
      <c r="F429">
        <v>37.72</v>
      </c>
      <c r="G429" t="s">
        <v>93</v>
      </c>
      <c r="H429" s="2">
        <v>45419</v>
      </c>
    </row>
    <row r="430" spans="1:8" x14ac:dyDescent="0.25">
      <c r="A430" t="s">
        <v>601</v>
      </c>
      <c r="B430" s="1">
        <v>0.73528003472222225</v>
      </c>
      <c r="C430" t="s">
        <v>14</v>
      </c>
      <c r="D430" t="s">
        <v>10</v>
      </c>
      <c r="E430" t="s">
        <v>600</v>
      </c>
      <c r="F430">
        <v>37.72</v>
      </c>
      <c r="G430" t="s">
        <v>12</v>
      </c>
      <c r="H430" s="2">
        <v>45419</v>
      </c>
    </row>
    <row r="431" spans="1:8" x14ac:dyDescent="0.25">
      <c r="A431" t="s">
        <v>602</v>
      </c>
      <c r="B431" s="1">
        <v>0.77473651620370365</v>
      </c>
      <c r="C431" t="s">
        <v>14</v>
      </c>
      <c r="D431" t="s">
        <v>39</v>
      </c>
      <c r="E431" t="s">
        <v>39</v>
      </c>
      <c r="F431">
        <v>34</v>
      </c>
      <c r="G431" t="s">
        <v>25</v>
      </c>
      <c r="H431" s="2">
        <v>45419</v>
      </c>
    </row>
    <row r="432" spans="1:8" x14ac:dyDescent="0.25">
      <c r="A432" t="s">
        <v>603</v>
      </c>
      <c r="B432" s="1">
        <v>0.80014495370370375</v>
      </c>
      <c r="C432" t="s">
        <v>14</v>
      </c>
      <c r="D432" t="s">
        <v>10</v>
      </c>
      <c r="E432" t="s">
        <v>604</v>
      </c>
      <c r="F432">
        <v>37.72</v>
      </c>
      <c r="G432" t="s">
        <v>93</v>
      </c>
      <c r="H432" s="2">
        <v>45419</v>
      </c>
    </row>
    <row r="433" spans="1:8" x14ac:dyDescent="0.25">
      <c r="A433" t="s">
        <v>605</v>
      </c>
      <c r="B433" s="1">
        <v>0.80083559027777773</v>
      </c>
      <c r="C433" t="s">
        <v>14</v>
      </c>
      <c r="D433" t="s">
        <v>10</v>
      </c>
      <c r="E433" t="s">
        <v>604</v>
      </c>
      <c r="F433">
        <v>37.72</v>
      </c>
      <c r="G433" t="s">
        <v>93</v>
      </c>
      <c r="H433" s="2">
        <v>45419</v>
      </c>
    </row>
    <row r="434" spans="1:8" x14ac:dyDescent="0.25">
      <c r="A434" t="s">
        <v>606</v>
      </c>
      <c r="B434" s="1">
        <v>0.42186184027777779</v>
      </c>
      <c r="C434" t="s">
        <v>9</v>
      </c>
      <c r="D434" t="s">
        <v>10</v>
      </c>
      <c r="E434" t="s">
        <v>11</v>
      </c>
      <c r="F434">
        <v>37.72</v>
      </c>
      <c r="G434" t="s">
        <v>12</v>
      </c>
      <c r="H434" s="2">
        <v>45420</v>
      </c>
    </row>
    <row r="435" spans="1:8" x14ac:dyDescent="0.25">
      <c r="A435" t="s">
        <v>607</v>
      </c>
      <c r="B435" s="1">
        <v>0.53775245370370373</v>
      </c>
      <c r="C435" t="s">
        <v>14</v>
      </c>
      <c r="D435" t="s">
        <v>10</v>
      </c>
      <c r="E435" t="s">
        <v>608</v>
      </c>
      <c r="F435">
        <v>37.72</v>
      </c>
      <c r="G435" t="s">
        <v>93</v>
      </c>
      <c r="H435" s="2">
        <v>45421</v>
      </c>
    </row>
    <row r="436" spans="1:8" x14ac:dyDescent="0.25">
      <c r="A436" t="s">
        <v>609</v>
      </c>
      <c r="B436" s="1">
        <v>0.54442773148148149</v>
      </c>
      <c r="C436" t="s">
        <v>14</v>
      </c>
      <c r="D436" t="s">
        <v>10</v>
      </c>
      <c r="E436" t="s">
        <v>610</v>
      </c>
      <c r="F436">
        <v>27.92</v>
      </c>
      <c r="G436" t="s">
        <v>20</v>
      </c>
      <c r="H436" s="2">
        <v>45421</v>
      </c>
    </row>
    <row r="437" spans="1:8" x14ac:dyDescent="0.25">
      <c r="A437" t="s">
        <v>611</v>
      </c>
      <c r="B437" s="1">
        <v>0.54511165509259263</v>
      </c>
      <c r="C437" t="s">
        <v>14</v>
      </c>
      <c r="D437" t="s">
        <v>10</v>
      </c>
      <c r="E437" t="s">
        <v>610</v>
      </c>
      <c r="F437">
        <v>37.72</v>
      </c>
      <c r="G437" t="s">
        <v>12</v>
      </c>
      <c r="H437" s="2">
        <v>45421</v>
      </c>
    </row>
    <row r="438" spans="1:8" x14ac:dyDescent="0.25">
      <c r="A438" t="s">
        <v>612</v>
      </c>
      <c r="B438" s="1">
        <v>0.54596366898148152</v>
      </c>
      <c r="C438" t="s">
        <v>14</v>
      </c>
      <c r="D438" t="s">
        <v>10</v>
      </c>
      <c r="E438" t="s">
        <v>610</v>
      </c>
      <c r="F438">
        <v>37.72</v>
      </c>
      <c r="G438" t="s">
        <v>12</v>
      </c>
      <c r="H438" s="2">
        <v>45421</v>
      </c>
    </row>
    <row r="439" spans="1:8" x14ac:dyDescent="0.25">
      <c r="A439" t="s">
        <v>613</v>
      </c>
      <c r="B439" s="1">
        <v>0.5467176967592593</v>
      </c>
      <c r="C439" t="s">
        <v>14</v>
      </c>
      <c r="D439" t="s">
        <v>10</v>
      </c>
      <c r="E439" t="s">
        <v>610</v>
      </c>
      <c r="F439">
        <v>37.72</v>
      </c>
      <c r="G439" t="s">
        <v>12</v>
      </c>
      <c r="H439" s="2">
        <v>45421</v>
      </c>
    </row>
    <row r="440" spans="1:8" x14ac:dyDescent="0.25">
      <c r="A440" t="s">
        <v>614</v>
      </c>
      <c r="B440" s="1">
        <v>0.70503010416666667</v>
      </c>
      <c r="C440" t="s">
        <v>14</v>
      </c>
      <c r="D440" t="s">
        <v>10</v>
      </c>
      <c r="E440" t="s">
        <v>443</v>
      </c>
      <c r="F440">
        <v>27.92</v>
      </c>
      <c r="G440" t="s">
        <v>20</v>
      </c>
      <c r="H440" s="2">
        <v>45421</v>
      </c>
    </row>
    <row r="441" spans="1:8" x14ac:dyDescent="0.25">
      <c r="A441" t="s">
        <v>615</v>
      </c>
      <c r="B441" s="1">
        <v>0.70572903935185183</v>
      </c>
      <c r="C441" t="s">
        <v>14</v>
      </c>
      <c r="D441" t="s">
        <v>10</v>
      </c>
      <c r="E441" t="s">
        <v>443</v>
      </c>
      <c r="F441">
        <v>27.92</v>
      </c>
      <c r="G441" t="s">
        <v>20</v>
      </c>
      <c r="H441" s="2">
        <v>45421</v>
      </c>
    </row>
    <row r="442" spans="1:8" x14ac:dyDescent="0.25">
      <c r="A442" t="s">
        <v>616</v>
      </c>
      <c r="B442" s="1">
        <v>0.75104045138888886</v>
      </c>
      <c r="C442" t="s">
        <v>14</v>
      </c>
      <c r="D442" t="s">
        <v>10</v>
      </c>
      <c r="E442" t="s">
        <v>617</v>
      </c>
      <c r="F442">
        <v>27.92</v>
      </c>
      <c r="G442" t="s">
        <v>20</v>
      </c>
      <c r="H442" s="2">
        <v>45421</v>
      </c>
    </row>
    <row r="443" spans="1:8" x14ac:dyDescent="0.25">
      <c r="A443" t="s">
        <v>618</v>
      </c>
      <c r="B443" s="1">
        <v>0.75967854166666671</v>
      </c>
      <c r="C443" t="s">
        <v>14</v>
      </c>
      <c r="D443" t="s">
        <v>10</v>
      </c>
      <c r="E443" t="s">
        <v>565</v>
      </c>
      <c r="F443">
        <v>32.82</v>
      </c>
      <c r="G443" t="s">
        <v>25</v>
      </c>
      <c r="H443" s="2">
        <v>45421</v>
      </c>
    </row>
    <row r="444" spans="1:8" x14ac:dyDescent="0.25">
      <c r="A444" t="s">
        <v>619</v>
      </c>
      <c r="B444" s="1">
        <v>0.42317097222222222</v>
      </c>
      <c r="C444" t="s">
        <v>9</v>
      </c>
      <c r="D444" t="s">
        <v>39</v>
      </c>
      <c r="E444" t="s">
        <v>39</v>
      </c>
      <c r="F444">
        <v>39</v>
      </c>
      <c r="G444" t="s">
        <v>12</v>
      </c>
      <c r="H444" s="2">
        <v>45422</v>
      </c>
    </row>
    <row r="445" spans="1:8" x14ac:dyDescent="0.25">
      <c r="A445" t="s">
        <v>620</v>
      </c>
      <c r="B445" s="1">
        <v>0.65719341435185186</v>
      </c>
      <c r="C445" t="s">
        <v>14</v>
      </c>
      <c r="D445" t="s">
        <v>10</v>
      </c>
      <c r="E445" t="s">
        <v>621</v>
      </c>
      <c r="F445">
        <v>37.72</v>
      </c>
      <c r="G445" t="s">
        <v>12</v>
      </c>
      <c r="H445" s="2">
        <v>45422</v>
      </c>
    </row>
    <row r="446" spans="1:8" x14ac:dyDescent="0.25">
      <c r="A446" t="s">
        <v>622</v>
      </c>
      <c r="B446" s="1">
        <v>0.65801513888888885</v>
      </c>
      <c r="C446" t="s">
        <v>14</v>
      </c>
      <c r="D446" t="s">
        <v>10</v>
      </c>
      <c r="E446" t="s">
        <v>621</v>
      </c>
      <c r="F446">
        <v>37.72</v>
      </c>
      <c r="G446" t="s">
        <v>12</v>
      </c>
      <c r="H446" s="2">
        <v>45422</v>
      </c>
    </row>
    <row r="447" spans="1:8" x14ac:dyDescent="0.25">
      <c r="A447" t="s">
        <v>623</v>
      </c>
      <c r="B447" s="1">
        <v>0.68073013888888889</v>
      </c>
      <c r="C447" t="s">
        <v>14</v>
      </c>
      <c r="D447" t="s">
        <v>39</v>
      </c>
      <c r="E447" t="s">
        <v>39</v>
      </c>
      <c r="F447">
        <v>34</v>
      </c>
      <c r="G447" t="s">
        <v>25</v>
      </c>
      <c r="H447" s="2">
        <v>45422</v>
      </c>
    </row>
    <row r="448" spans="1:8" x14ac:dyDescent="0.25">
      <c r="A448" t="s">
        <v>624</v>
      </c>
      <c r="B448" s="1">
        <v>0.48602868055555554</v>
      </c>
      <c r="C448" t="s">
        <v>9</v>
      </c>
      <c r="D448" t="s">
        <v>10</v>
      </c>
      <c r="E448" t="s">
        <v>238</v>
      </c>
      <c r="F448">
        <v>37.72</v>
      </c>
      <c r="G448" t="s">
        <v>12</v>
      </c>
      <c r="H448" s="2">
        <v>45423</v>
      </c>
    </row>
    <row r="449" spans="1:8" x14ac:dyDescent="0.25">
      <c r="A449" t="s">
        <v>625</v>
      </c>
      <c r="B449" s="1">
        <v>0.71022740740740742</v>
      </c>
      <c r="C449" t="s">
        <v>14</v>
      </c>
      <c r="D449" t="s">
        <v>39</v>
      </c>
      <c r="E449" t="s">
        <v>39</v>
      </c>
      <c r="F449">
        <v>39</v>
      </c>
      <c r="G449" t="s">
        <v>12</v>
      </c>
      <c r="H449" s="2">
        <v>45423</v>
      </c>
    </row>
    <row r="450" spans="1:8" x14ac:dyDescent="0.25">
      <c r="A450" t="s">
        <v>626</v>
      </c>
      <c r="B450" s="1">
        <v>0.72257405092592597</v>
      </c>
      <c r="C450" t="s">
        <v>14</v>
      </c>
      <c r="D450" t="s">
        <v>10</v>
      </c>
      <c r="E450" t="s">
        <v>35</v>
      </c>
      <c r="F450">
        <v>32.82</v>
      </c>
      <c r="G450" t="s">
        <v>25</v>
      </c>
      <c r="H450" s="2">
        <v>45423</v>
      </c>
    </row>
    <row r="451" spans="1:8" x14ac:dyDescent="0.25">
      <c r="A451" t="s">
        <v>627</v>
      </c>
      <c r="B451" s="1">
        <v>0.72356616898148152</v>
      </c>
      <c r="C451" t="s">
        <v>14</v>
      </c>
      <c r="D451" t="s">
        <v>10</v>
      </c>
      <c r="E451" t="s">
        <v>81</v>
      </c>
      <c r="F451">
        <v>37.72</v>
      </c>
      <c r="G451" t="s">
        <v>32</v>
      </c>
      <c r="H451" s="2">
        <v>45423</v>
      </c>
    </row>
    <row r="452" spans="1:8" x14ac:dyDescent="0.25">
      <c r="A452" t="s">
        <v>628</v>
      </c>
      <c r="B452" s="1">
        <v>0.72496876157407408</v>
      </c>
      <c r="C452" t="s">
        <v>14</v>
      </c>
      <c r="D452" t="s">
        <v>10</v>
      </c>
      <c r="E452" t="s">
        <v>124</v>
      </c>
      <c r="F452">
        <v>37.72</v>
      </c>
      <c r="G452" t="s">
        <v>93</v>
      </c>
      <c r="H452" s="2">
        <v>45423</v>
      </c>
    </row>
    <row r="453" spans="1:8" x14ac:dyDescent="0.25">
      <c r="A453" t="s">
        <v>629</v>
      </c>
      <c r="B453" s="1">
        <v>0.72840430555555558</v>
      </c>
      <c r="C453" t="s">
        <v>14</v>
      </c>
      <c r="D453" t="s">
        <v>10</v>
      </c>
      <c r="E453" t="s">
        <v>43</v>
      </c>
      <c r="F453">
        <v>32.82</v>
      </c>
      <c r="G453" t="s">
        <v>25</v>
      </c>
      <c r="H453" s="2">
        <v>45423</v>
      </c>
    </row>
    <row r="454" spans="1:8" x14ac:dyDescent="0.25">
      <c r="A454" t="s">
        <v>630</v>
      </c>
      <c r="B454" s="1">
        <v>0.77477149305555559</v>
      </c>
      <c r="C454" t="s">
        <v>14</v>
      </c>
      <c r="D454" t="s">
        <v>10</v>
      </c>
      <c r="E454" t="s">
        <v>430</v>
      </c>
      <c r="F454">
        <v>37.72</v>
      </c>
      <c r="G454" t="s">
        <v>93</v>
      </c>
      <c r="H454" s="2">
        <v>45423</v>
      </c>
    </row>
    <row r="455" spans="1:8" x14ac:dyDescent="0.25">
      <c r="A455" t="s">
        <v>631</v>
      </c>
      <c r="B455" s="1">
        <v>0.81824185185185183</v>
      </c>
      <c r="C455" t="s">
        <v>14</v>
      </c>
      <c r="D455" t="s">
        <v>10</v>
      </c>
      <c r="E455" t="s">
        <v>632</v>
      </c>
      <c r="F455">
        <v>37.72</v>
      </c>
      <c r="G455" t="s">
        <v>12</v>
      </c>
      <c r="H455" s="2">
        <v>45423</v>
      </c>
    </row>
    <row r="456" spans="1:8" x14ac:dyDescent="0.25">
      <c r="A456" t="s">
        <v>633</v>
      </c>
      <c r="B456" s="1">
        <v>0.43104759259259257</v>
      </c>
      <c r="C456" t="s">
        <v>9</v>
      </c>
      <c r="D456" t="s">
        <v>10</v>
      </c>
      <c r="E456" t="s">
        <v>11</v>
      </c>
      <c r="F456">
        <v>37.72</v>
      </c>
      <c r="G456" t="s">
        <v>12</v>
      </c>
      <c r="H456" s="2">
        <v>45424</v>
      </c>
    </row>
    <row r="457" spans="1:8" x14ac:dyDescent="0.25">
      <c r="A457" t="s">
        <v>634</v>
      </c>
      <c r="B457" s="1">
        <v>0.55837343750000001</v>
      </c>
      <c r="C457" t="s">
        <v>14</v>
      </c>
      <c r="D457" t="s">
        <v>10</v>
      </c>
      <c r="E457" t="s">
        <v>635</v>
      </c>
      <c r="F457">
        <v>37.72</v>
      </c>
      <c r="G457" t="s">
        <v>12</v>
      </c>
      <c r="H457" s="2">
        <v>45424</v>
      </c>
    </row>
    <row r="458" spans="1:8" x14ac:dyDescent="0.25">
      <c r="A458" t="s">
        <v>636</v>
      </c>
      <c r="B458" s="1">
        <v>0.5608685532407407</v>
      </c>
      <c r="C458" t="s">
        <v>14</v>
      </c>
      <c r="D458" t="s">
        <v>10</v>
      </c>
      <c r="E458" t="s">
        <v>637</v>
      </c>
      <c r="F458">
        <v>27.92</v>
      </c>
      <c r="G458" t="s">
        <v>20</v>
      </c>
      <c r="H458" s="2">
        <v>45424</v>
      </c>
    </row>
    <row r="459" spans="1:8" x14ac:dyDescent="0.25">
      <c r="A459" t="s">
        <v>638</v>
      </c>
      <c r="B459" s="1">
        <v>0.63634045138888884</v>
      </c>
      <c r="C459" t="s">
        <v>14</v>
      </c>
      <c r="D459" t="s">
        <v>10</v>
      </c>
      <c r="E459" t="s">
        <v>262</v>
      </c>
      <c r="F459">
        <v>37.72</v>
      </c>
      <c r="G459" t="s">
        <v>12</v>
      </c>
      <c r="H459" s="2">
        <v>45424</v>
      </c>
    </row>
    <row r="460" spans="1:8" x14ac:dyDescent="0.25">
      <c r="A460" t="s">
        <v>639</v>
      </c>
      <c r="B460" s="1">
        <v>0.65141692129629625</v>
      </c>
      <c r="C460" t="s">
        <v>14</v>
      </c>
      <c r="D460" t="s">
        <v>10</v>
      </c>
      <c r="E460" t="s">
        <v>640</v>
      </c>
      <c r="F460">
        <v>32.82</v>
      </c>
      <c r="G460" t="s">
        <v>25</v>
      </c>
      <c r="H460" s="2">
        <v>45424</v>
      </c>
    </row>
    <row r="461" spans="1:8" x14ac:dyDescent="0.25">
      <c r="A461" t="s">
        <v>641</v>
      </c>
      <c r="B461" s="1">
        <v>0.66128322916666671</v>
      </c>
      <c r="C461" t="s">
        <v>14</v>
      </c>
      <c r="D461" t="s">
        <v>10</v>
      </c>
      <c r="E461" t="s">
        <v>642</v>
      </c>
      <c r="F461">
        <v>32.82</v>
      </c>
      <c r="G461" t="s">
        <v>25</v>
      </c>
      <c r="H461" s="2">
        <v>45424</v>
      </c>
    </row>
    <row r="462" spans="1:8" x14ac:dyDescent="0.25">
      <c r="A462" t="s">
        <v>643</v>
      </c>
      <c r="B462" s="1">
        <v>0.66968903935185187</v>
      </c>
      <c r="C462" t="s">
        <v>14</v>
      </c>
      <c r="D462" t="s">
        <v>10</v>
      </c>
      <c r="E462" t="s">
        <v>43</v>
      </c>
      <c r="F462">
        <v>32.82</v>
      </c>
      <c r="G462" t="s">
        <v>25</v>
      </c>
      <c r="H462" s="2">
        <v>45424</v>
      </c>
    </row>
    <row r="463" spans="1:8" x14ac:dyDescent="0.25">
      <c r="A463" t="s">
        <v>644</v>
      </c>
      <c r="B463" s="1">
        <v>0.82049269675925929</v>
      </c>
      <c r="C463" t="s">
        <v>14</v>
      </c>
      <c r="D463" t="s">
        <v>10</v>
      </c>
      <c r="E463" t="s">
        <v>35</v>
      </c>
      <c r="F463">
        <v>32.82</v>
      </c>
      <c r="G463" t="s">
        <v>25</v>
      </c>
      <c r="H463" s="2">
        <v>45424</v>
      </c>
    </row>
    <row r="464" spans="1:8" x14ac:dyDescent="0.25">
      <c r="A464" t="s">
        <v>645</v>
      </c>
      <c r="B464" s="1">
        <v>0.46103412037037039</v>
      </c>
      <c r="C464" t="s">
        <v>9</v>
      </c>
      <c r="D464" t="s">
        <v>10</v>
      </c>
      <c r="E464" t="s">
        <v>646</v>
      </c>
      <c r="F464">
        <v>32.82</v>
      </c>
      <c r="G464" t="s">
        <v>25</v>
      </c>
      <c r="H464" s="2">
        <v>45425</v>
      </c>
    </row>
    <row r="465" spans="1:8" x14ac:dyDescent="0.25">
      <c r="A465" t="s">
        <v>647</v>
      </c>
      <c r="B465" s="1">
        <v>0.64665234953703699</v>
      </c>
      <c r="C465" t="s">
        <v>14</v>
      </c>
      <c r="D465" t="s">
        <v>39</v>
      </c>
      <c r="E465" t="s">
        <v>39</v>
      </c>
      <c r="F465">
        <v>29</v>
      </c>
      <c r="G465" t="s">
        <v>20</v>
      </c>
      <c r="H465" s="2">
        <v>45425</v>
      </c>
    </row>
    <row r="466" spans="1:8" x14ac:dyDescent="0.25">
      <c r="A466" t="s">
        <v>648</v>
      </c>
      <c r="B466" s="1">
        <v>0.64711697916666666</v>
      </c>
      <c r="C466" t="s">
        <v>14</v>
      </c>
      <c r="D466" t="s">
        <v>39</v>
      </c>
      <c r="E466" t="s">
        <v>39</v>
      </c>
      <c r="F466">
        <v>29</v>
      </c>
      <c r="G466" t="s">
        <v>20</v>
      </c>
      <c r="H466" s="2">
        <v>45425</v>
      </c>
    </row>
    <row r="467" spans="1:8" x14ac:dyDescent="0.25">
      <c r="A467" t="s">
        <v>649</v>
      </c>
      <c r="B467" s="1">
        <v>0.3598909837962963</v>
      </c>
      <c r="C467" t="s">
        <v>9</v>
      </c>
      <c r="D467" t="s">
        <v>10</v>
      </c>
      <c r="E467" t="s">
        <v>43</v>
      </c>
      <c r="F467">
        <v>27.92</v>
      </c>
      <c r="G467" t="s">
        <v>20</v>
      </c>
      <c r="H467" s="2">
        <v>45426</v>
      </c>
    </row>
    <row r="468" spans="1:8" x14ac:dyDescent="0.25">
      <c r="A468" t="s">
        <v>650</v>
      </c>
      <c r="B468" s="1">
        <v>0.36071128472222225</v>
      </c>
      <c r="C468" t="s">
        <v>9</v>
      </c>
      <c r="D468" t="s">
        <v>10</v>
      </c>
      <c r="E468" t="s">
        <v>43</v>
      </c>
      <c r="F468">
        <v>27.92</v>
      </c>
      <c r="G468" t="s">
        <v>20</v>
      </c>
      <c r="H468" s="2">
        <v>45426</v>
      </c>
    </row>
    <row r="469" spans="1:8" x14ac:dyDescent="0.25">
      <c r="A469" t="s">
        <v>651</v>
      </c>
      <c r="B469" s="1">
        <v>0.36131347222222221</v>
      </c>
      <c r="C469" t="s">
        <v>9</v>
      </c>
      <c r="D469" t="s">
        <v>10</v>
      </c>
      <c r="E469" t="s">
        <v>43</v>
      </c>
      <c r="F469">
        <v>27.92</v>
      </c>
      <c r="G469" t="s">
        <v>20</v>
      </c>
      <c r="H469" s="2">
        <v>45426</v>
      </c>
    </row>
    <row r="470" spans="1:8" x14ac:dyDescent="0.25">
      <c r="A470" t="s">
        <v>652</v>
      </c>
      <c r="B470" s="1">
        <v>0.43012932870370368</v>
      </c>
      <c r="C470" t="s">
        <v>9</v>
      </c>
      <c r="D470" t="s">
        <v>10</v>
      </c>
      <c r="E470" t="s">
        <v>43</v>
      </c>
      <c r="F470">
        <v>37.72</v>
      </c>
      <c r="G470" t="s">
        <v>93</v>
      </c>
      <c r="H470" s="2">
        <v>45426</v>
      </c>
    </row>
    <row r="471" spans="1:8" x14ac:dyDescent="0.25">
      <c r="A471" t="s">
        <v>653</v>
      </c>
      <c r="B471" s="1">
        <v>0.48089550925925928</v>
      </c>
      <c r="C471" t="s">
        <v>9</v>
      </c>
      <c r="D471" t="s">
        <v>10</v>
      </c>
      <c r="E471" t="s">
        <v>654</v>
      </c>
      <c r="F471">
        <v>37.72</v>
      </c>
      <c r="G471" t="s">
        <v>12</v>
      </c>
      <c r="H471" s="2">
        <v>45426</v>
      </c>
    </row>
    <row r="472" spans="1:8" x14ac:dyDescent="0.25">
      <c r="A472" t="s">
        <v>655</v>
      </c>
      <c r="B472" s="1">
        <v>0.4820931828703704</v>
      </c>
      <c r="C472" t="s">
        <v>9</v>
      </c>
      <c r="D472" t="s">
        <v>10</v>
      </c>
      <c r="E472" t="s">
        <v>654</v>
      </c>
      <c r="F472">
        <v>37.72</v>
      </c>
      <c r="G472" t="s">
        <v>93</v>
      </c>
      <c r="H472" s="2">
        <v>45426</v>
      </c>
    </row>
    <row r="473" spans="1:8" x14ac:dyDescent="0.25">
      <c r="A473" t="s">
        <v>656</v>
      </c>
      <c r="B473" s="1">
        <v>0.58674282407407408</v>
      </c>
      <c r="C473" t="s">
        <v>14</v>
      </c>
      <c r="D473" t="s">
        <v>10</v>
      </c>
      <c r="E473" t="s">
        <v>79</v>
      </c>
      <c r="F473">
        <v>37.72</v>
      </c>
      <c r="G473" t="s">
        <v>93</v>
      </c>
      <c r="H473" s="2">
        <v>45426</v>
      </c>
    </row>
    <row r="474" spans="1:8" x14ac:dyDescent="0.25">
      <c r="A474" t="s">
        <v>657</v>
      </c>
      <c r="B474" s="1">
        <v>0.58750437499999997</v>
      </c>
      <c r="C474" t="s">
        <v>14</v>
      </c>
      <c r="D474" t="s">
        <v>10</v>
      </c>
      <c r="E474" t="s">
        <v>35</v>
      </c>
      <c r="F474">
        <v>32.82</v>
      </c>
      <c r="G474" t="s">
        <v>25</v>
      </c>
      <c r="H474" s="2">
        <v>45426</v>
      </c>
    </row>
    <row r="475" spans="1:8" x14ac:dyDescent="0.25">
      <c r="A475" t="s">
        <v>658</v>
      </c>
      <c r="B475" s="1">
        <v>0.62632853009259259</v>
      </c>
      <c r="C475" t="s">
        <v>14</v>
      </c>
      <c r="D475" t="s">
        <v>10</v>
      </c>
      <c r="E475" t="s">
        <v>124</v>
      </c>
      <c r="F475">
        <v>27.92</v>
      </c>
      <c r="G475" t="s">
        <v>20</v>
      </c>
      <c r="H475" s="2">
        <v>45426</v>
      </c>
    </row>
    <row r="476" spans="1:8" x14ac:dyDescent="0.25">
      <c r="A476" t="s">
        <v>659</v>
      </c>
      <c r="B476" s="1">
        <v>0.70691231481481487</v>
      </c>
      <c r="C476" t="s">
        <v>14</v>
      </c>
      <c r="D476" t="s">
        <v>10</v>
      </c>
      <c r="E476" t="s">
        <v>660</v>
      </c>
      <c r="F476">
        <v>32.82</v>
      </c>
      <c r="G476" t="s">
        <v>25</v>
      </c>
      <c r="H476" s="2">
        <v>45426</v>
      </c>
    </row>
    <row r="477" spans="1:8" x14ac:dyDescent="0.25">
      <c r="A477" t="s">
        <v>661</v>
      </c>
      <c r="B477" s="1">
        <v>0.70775687499999995</v>
      </c>
      <c r="C477" t="s">
        <v>14</v>
      </c>
      <c r="D477" t="s">
        <v>10</v>
      </c>
      <c r="E477" t="s">
        <v>660</v>
      </c>
      <c r="F477">
        <v>37.72</v>
      </c>
      <c r="G477" t="s">
        <v>93</v>
      </c>
      <c r="H477" s="2">
        <v>45426</v>
      </c>
    </row>
    <row r="478" spans="1:8" x14ac:dyDescent="0.25">
      <c r="A478" t="s">
        <v>662</v>
      </c>
      <c r="B478" s="1">
        <v>0.95237531249999996</v>
      </c>
      <c r="C478" t="s">
        <v>14</v>
      </c>
      <c r="D478" t="s">
        <v>10</v>
      </c>
      <c r="E478" t="s">
        <v>663</v>
      </c>
      <c r="F478">
        <v>37.72</v>
      </c>
      <c r="G478" t="s">
        <v>16</v>
      </c>
      <c r="H478" s="2">
        <v>45426</v>
      </c>
    </row>
    <row r="479" spans="1:8" x14ac:dyDescent="0.25">
      <c r="A479" t="s">
        <v>664</v>
      </c>
      <c r="B479" s="1">
        <v>0.36117663194444444</v>
      </c>
      <c r="C479" t="s">
        <v>9</v>
      </c>
      <c r="D479" t="s">
        <v>10</v>
      </c>
      <c r="E479" t="s">
        <v>665</v>
      </c>
      <c r="F479">
        <v>37.72</v>
      </c>
      <c r="G479" t="s">
        <v>12</v>
      </c>
      <c r="H479" s="2">
        <v>45427</v>
      </c>
    </row>
    <row r="480" spans="1:8" x14ac:dyDescent="0.25">
      <c r="A480" t="s">
        <v>666</v>
      </c>
      <c r="B480" s="1">
        <v>0.4682795486111111</v>
      </c>
      <c r="C480" t="s">
        <v>9</v>
      </c>
      <c r="D480" t="s">
        <v>10</v>
      </c>
      <c r="E480" t="s">
        <v>43</v>
      </c>
      <c r="F480">
        <v>23.02</v>
      </c>
      <c r="G480" t="s">
        <v>72</v>
      </c>
      <c r="H480" s="2">
        <v>45427</v>
      </c>
    </row>
    <row r="481" spans="1:8" x14ac:dyDescent="0.25">
      <c r="A481" t="s">
        <v>667</v>
      </c>
      <c r="B481" s="1">
        <v>0.47164408564814814</v>
      </c>
      <c r="C481" t="s">
        <v>9</v>
      </c>
      <c r="D481" t="s">
        <v>10</v>
      </c>
      <c r="E481" t="s">
        <v>43</v>
      </c>
      <c r="F481">
        <v>27.92</v>
      </c>
      <c r="G481" t="s">
        <v>20</v>
      </c>
      <c r="H481" s="2">
        <v>45427</v>
      </c>
    </row>
    <row r="482" spans="1:8" x14ac:dyDescent="0.25">
      <c r="A482" t="s">
        <v>668</v>
      </c>
      <c r="B482" s="1">
        <v>0.56568405092592589</v>
      </c>
      <c r="C482" t="s">
        <v>14</v>
      </c>
      <c r="D482" t="s">
        <v>10</v>
      </c>
      <c r="E482" t="s">
        <v>19</v>
      </c>
      <c r="F482">
        <v>27.92</v>
      </c>
      <c r="G482" t="s">
        <v>20</v>
      </c>
      <c r="H482" s="2">
        <v>45427</v>
      </c>
    </row>
    <row r="483" spans="1:8" x14ac:dyDescent="0.25">
      <c r="A483" t="s">
        <v>669</v>
      </c>
      <c r="B483" s="1">
        <v>0.566309849537037</v>
      </c>
      <c r="C483" t="s">
        <v>14</v>
      </c>
      <c r="D483" t="s">
        <v>10</v>
      </c>
      <c r="E483" t="s">
        <v>19</v>
      </c>
      <c r="F483">
        <v>27.92</v>
      </c>
      <c r="G483" t="s">
        <v>20</v>
      </c>
      <c r="H483" s="2">
        <v>45427</v>
      </c>
    </row>
    <row r="484" spans="1:8" x14ac:dyDescent="0.25">
      <c r="A484" t="s">
        <v>670</v>
      </c>
      <c r="B484" s="1">
        <v>0.56698309027777782</v>
      </c>
      <c r="C484" t="s">
        <v>14</v>
      </c>
      <c r="D484" t="s">
        <v>10</v>
      </c>
      <c r="E484" t="s">
        <v>19</v>
      </c>
      <c r="F484">
        <v>27.92</v>
      </c>
      <c r="G484" t="s">
        <v>20</v>
      </c>
      <c r="H484" s="2">
        <v>45427</v>
      </c>
    </row>
    <row r="485" spans="1:8" x14ac:dyDescent="0.25">
      <c r="A485" t="s">
        <v>671</v>
      </c>
      <c r="B485" s="1">
        <v>0.58019674768518514</v>
      </c>
      <c r="C485" t="s">
        <v>14</v>
      </c>
      <c r="D485" t="s">
        <v>10</v>
      </c>
      <c r="E485" t="s">
        <v>646</v>
      </c>
      <c r="F485">
        <v>32.82</v>
      </c>
      <c r="G485" t="s">
        <v>25</v>
      </c>
      <c r="H485" s="2">
        <v>45427</v>
      </c>
    </row>
    <row r="486" spans="1:8" x14ac:dyDescent="0.25">
      <c r="A486" t="s">
        <v>672</v>
      </c>
      <c r="B486" s="1">
        <v>0.60984776620370373</v>
      </c>
      <c r="C486" t="s">
        <v>14</v>
      </c>
      <c r="D486" t="s">
        <v>39</v>
      </c>
      <c r="E486" t="s">
        <v>39</v>
      </c>
      <c r="F486">
        <v>29</v>
      </c>
      <c r="G486" t="s">
        <v>20</v>
      </c>
      <c r="H486" s="2">
        <v>45427</v>
      </c>
    </row>
    <row r="487" spans="1:8" x14ac:dyDescent="0.25">
      <c r="A487" t="s">
        <v>673</v>
      </c>
      <c r="B487" s="1">
        <v>0.61032809027777779</v>
      </c>
      <c r="C487" t="s">
        <v>14</v>
      </c>
      <c r="D487" t="s">
        <v>10</v>
      </c>
      <c r="E487" t="s">
        <v>674</v>
      </c>
      <c r="F487">
        <v>27.92</v>
      </c>
      <c r="G487" t="s">
        <v>54</v>
      </c>
      <c r="H487" s="2">
        <v>45427</v>
      </c>
    </row>
    <row r="488" spans="1:8" x14ac:dyDescent="0.25">
      <c r="A488" t="s">
        <v>675</v>
      </c>
      <c r="B488" s="1">
        <v>0.61093017361111113</v>
      </c>
      <c r="C488" t="s">
        <v>14</v>
      </c>
      <c r="D488" t="s">
        <v>10</v>
      </c>
      <c r="E488" t="s">
        <v>43</v>
      </c>
      <c r="F488">
        <v>27.92</v>
      </c>
      <c r="G488" t="s">
        <v>54</v>
      </c>
      <c r="H488" s="2">
        <v>45427</v>
      </c>
    </row>
    <row r="489" spans="1:8" x14ac:dyDescent="0.25">
      <c r="A489" t="s">
        <v>676</v>
      </c>
      <c r="B489" s="1">
        <v>0.72845625000000003</v>
      </c>
      <c r="C489" t="s">
        <v>14</v>
      </c>
      <c r="D489" t="s">
        <v>10</v>
      </c>
      <c r="E489" t="s">
        <v>677</v>
      </c>
      <c r="F489">
        <v>23.02</v>
      </c>
      <c r="G489" t="s">
        <v>72</v>
      </c>
      <c r="H489" s="2">
        <v>45427</v>
      </c>
    </row>
    <row r="490" spans="1:8" x14ac:dyDescent="0.25">
      <c r="A490" t="s">
        <v>678</v>
      </c>
      <c r="B490" s="1">
        <v>0.84762464120370373</v>
      </c>
      <c r="C490" t="s">
        <v>14</v>
      </c>
      <c r="D490" t="s">
        <v>10</v>
      </c>
      <c r="E490" t="s">
        <v>679</v>
      </c>
      <c r="F490">
        <v>37.72</v>
      </c>
      <c r="G490" t="s">
        <v>93</v>
      </c>
      <c r="H490" s="2">
        <v>45427</v>
      </c>
    </row>
    <row r="491" spans="1:8" x14ac:dyDescent="0.25">
      <c r="A491" t="s">
        <v>680</v>
      </c>
      <c r="B491" s="1">
        <v>0.4435469675925926</v>
      </c>
      <c r="C491" t="s">
        <v>9</v>
      </c>
      <c r="D491" t="s">
        <v>10</v>
      </c>
      <c r="E491" t="s">
        <v>346</v>
      </c>
      <c r="F491">
        <v>32.82</v>
      </c>
      <c r="G491" t="s">
        <v>25</v>
      </c>
      <c r="H491" s="2">
        <v>45428</v>
      </c>
    </row>
    <row r="492" spans="1:8" x14ac:dyDescent="0.25">
      <c r="A492" t="s">
        <v>681</v>
      </c>
      <c r="B492" s="1">
        <v>0.44432211805555555</v>
      </c>
      <c r="C492" t="s">
        <v>9</v>
      </c>
      <c r="D492" t="s">
        <v>10</v>
      </c>
      <c r="E492" t="s">
        <v>682</v>
      </c>
      <c r="F492">
        <v>32.82</v>
      </c>
      <c r="G492" t="s">
        <v>25</v>
      </c>
      <c r="H492" s="2">
        <v>45428</v>
      </c>
    </row>
    <row r="493" spans="1:8" x14ac:dyDescent="0.25">
      <c r="A493" t="s">
        <v>683</v>
      </c>
      <c r="B493" s="1">
        <v>0.4880820023148148</v>
      </c>
      <c r="C493" t="s">
        <v>9</v>
      </c>
      <c r="D493" t="s">
        <v>39</v>
      </c>
      <c r="E493" t="s">
        <v>39</v>
      </c>
      <c r="F493">
        <v>39</v>
      </c>
      <c r="G493" t="s">
        <v>12</v>
      </c>
      <c r="H493" s="2">
        <v>45428</v>
      </c>
    </row>
    <row r="494" spans="1:8" x14ac:dyDescent="0.25">
      <c r="A494" t="s">
        <v>684</v>
      </c>
      <c r="B494" s="1">
        <v>0.48912975694444444</v>
      </c>
      <c r="C494" t="s">
        <v>9</v>
      </c>
      <c r="D494" t="s">
        <v>39</v>
      </c>
      <c r="E494" t="s">
        <v>39</v>
      </c>
      <c r="F494">
        <v>39</v>
      </c>
      <c r="G494" t="s">
        <v>93</v>
      </c>
      <c r="H494" s="2">
        <v>45428</v>
      </c>
    </row>
    <row r="495" spans="1:8" x14ac:dyDescent="0.25">
      <c r="A495" t="s">
        <v>685</v>
      </c>
      <c r="B495" s="1">
        <v>0.50972334490740745</v>
      </c>
      <c r="C495" t="s">
        <v>14</v>
      </c>
      <c r="D495" t="s">
        <v>10</v>
      </c>
      <c r="E495" t="s">
        <v>686</v>
      </c>
      <c r="F495">
        <v>32.82</v>
      </c>
      <c r="G495" t="s">
        <v>25</v>
      </c>
      <c r="H495" s="2">
        <v>45428</v>
      </c>
    </row>
    <row r="496" spans="1:8" x14ac:dyDescent="0.25">
      <c r="A496" t="s">
        <v>687</v>
      </c>
      <c r="B496" s="1">
        <v>0.63560549768518515</v>
      </c>
      <c r="C496" t="s">
        <v>14</v>
      </c>
      <c r="D496" t="s">
        <v>10</v>
      </c>
      <c r="E496" t="s">
        <v>688</v>
      </c>
      <c r="F496">
        <v>37.72</v>
      </c>
      <c r="G496" t="s">
        <v>16</v>
      </c>
      <c r="H496" s="2">
        <v>45428</v>
      </c>
    </row>
    <row r="497" spans="1:8" x14ac:dyDescent="0.25">
      <c r="A497" t="s">
        <v>689</v>
      </c>
      <c r="B497" s="1">
        <v>0.73925402777777782</v>
      </c>
      <c r="C497" t="s">
        <v>14</v>
      </c>
      <c r="D497" t="s">
        <v>10</v>
      </c>
      <c r="E497" t="s">
        <v>238</v>
      </c>
      <c r="F497">
        <v>37.72</v>
      </c>
      <c r="G497" t="s">
        <v>12</v>
      </c>
      <c r="H497" s="2">
        <v>45428</v>
      </c>
    </row>
    <row r="498" spans="1:8" x14ac:dyDescent="0.25">
      <c r="A498" t="s">
        <v>690</v>
      </c>
      <c r="B498" s="1">
        <v>0.75899229166666671</v>
      </c>
      <c r="C498" t="s">
        <v>14</v>
      </c>
      <c r="D498" t="s">
        <v>10</v>
      </c>
      <c r="E498" t="s">
        <v>691</v>
      </c>
      <c r="F498">
        <v>37.72</v>
      </c>
      <c r="G498" t="s">
        <v>16</v>
      </c>
      <c r="H498" s="2">
        <v>45428</v>
      </c>
    </row>
    <row r="499" spans="1:8" x14ac:dyDescent="0.25">
      <c r="A499" t="s">
        <v>692</v>
      </c>
      <c r="B499" s="1">
        <v>0.7597012847222222</v>
      </c>
      <c r="C499" t="s">
        <v>14</v>
      </c>
      <c r="D499" t="s">
        <v>10</v>
      </c>
      <c r="E499" t="s">
        <v>691</v>
      </c>
      <c r="F499">
        <v>37.72</v>
      </c>
      <c r="G499" t="s">
        <v>12</v>
      </c>
      <c r="H499" s="2">
        <v>45428</v>
      </c>
    </row>
    <row r="500" spans="1:8" x14ac:dyDescent="0.25">
      <c r="A500" t="s">
        <v>693</v>
      </c>
      <c r="B500" s="1">
        <v>0.37556083333333334</v>
      </c>
      <c r="C500" t="s">
        <v>9</v>
      </c>
      <c r="D500" t="s">
        <v>10</v>
      </c>
      <c r="E500" t="s">
        <v>104</v>
      </c>
      <c r="F500">
        <v>27.92</v>
      </c>
      <c r="G500" t="s">
        <v>20</v>
      </c>
      <c r="H500" s="2">
        <v>45429</v>
      </c>
    </row>
    <row r="501" spans="1:8" x14ac:dyDescent="0.25">
      <c r="A501" t="s">
        <v>694</v>
      </c>
      <c r="B501" s="1">
        <v>0.47948556712962964</v>
      </c>
      <c r="C501" t="s">
        <v>9</v>
      </c>
      <c r="D501" t="s">
        <v>10</v>
      </c>
      <c r="E501" t="s">
        <v>646</v>
      </c>
      <c r="F501">
        <v>32.82</v>
      </c>
      <c r="G501" t="s">
        <v>25</v>
      </c>
      <c r="H501" s="2">
        <v>45429</v>
      </c>
    </row>
    <row r="502" spans="1:8" x14ac:dyDescent="0.25">
      <c r="A502" t="s">
        <v>695</v>
      </c>
      <c r="B502" s="1">
        <v>0.62364652777777774</v>
      </c>
      <c r="C502" t="s">
        <v>14</v>
      </c>
      <c r="D502" t="s">
        <v>39</v>
      </c>
      <c r="E502" t="s">
        <v>39</v>
      </c>
      <c r="F502">
        <v>34</v>
      </c>
      <c r="G502" t="s">
        <v>25</v>
      </c>
      <c r="H502" s="2">
        <v>45429</v>
      </c>
    </row>
    <row r="503" spans="1:8" x14ac:dyDescent="0.25">
      <c r="A503" t="s">
        <v>696</v>
      </c>
      <c r="B503" s="1">
        <v>0.83007562499999998</v>
      </c>
      <c r="C503" t="s">
        <v>14</v>
      </c>
      <c r="D503" t="s">
        <v>10</v>
      </c>
      <c r="E503" t="s">
        <v>43</v>
      </c>
      <c r="F503">
        <v>32.82</v>
      </c>
      <c r="G503" t="s">
        <v>25</v>
      </c>
      <c r="H503" s="2">
        <v>45429</v>
      </c>
    </row>
    <row r="504" spans="1:8" x14ac:dyDescent="0.25">
      <c r="A504" t="s">
        <v>697</v>
      </c>
      <c r="B504" s="1">
        <v>0.83109665509259256</v>
      </c>
      <c r="C504" t="s">
        <v>14</v>
      </c>
      <c r="D504" t="s">
        <v>10</v>
      </c>
      <c r="E504" t="s">
        <v>35</v>
      </c>
      <c r="F504">
        <v>37.72</v>
      </c>
      <c r="G504" t="s">
        <v>93</v>
      </c>
      <c r="H504" s="2">
        <v>45429</v>
      </c>
    </row>
    <row r="505" spans="1:8" x14ac:dyDescent="0.25">
      <c r="A505" t="s">
        <v>698</v>
      </c>
      <c r="B505" s="1">
        <v>0.85964039351851851</v>
      </c>
      <c r="C505" t="s">
        <v>14</v>
      </c>
      <c r="D505" t="s">
        <v>10</v>
      </c>
      <c r="E505" t="s">
        <v>699</v>
      </c>
      <c r="F505">
        <v>37.72</v>
      </c>
      <c r="G505" t="s">
        <v>93</v>
      </c>
      <c r="H505" s="2">
        <v>45429</v>
      </c>
    </row>
    <row r="506" spans="1:8" x14ac:dyDescent="0.25">
      <c r="A506" t="s">
        <v>700</v>
      </c>
      <c r="B506" s="1">
        <v>0.94086570601851849</v>
      </c>
      <c r="C506" t="s">
        <v>14</v>
      </c>
      <c r="D506" t="s">
        <v>10</v>
      </c>
      <c r="E506" t="s">
        <v>701</v>
      </c>
      <c r="F506">
        <v>27.92</v>
      </c>
      <c r="G506" t="s">
        <v>20</v>
      </c>
      <c r="H506" s="2">
        <v>45429</v>
      </c>
    </row>
    <row r="507" spans="1:8" x14ac:dyDescent="0.25">
      <c r="A507" t="s">
        <v>702</v>
      </c>
      <c r="B507" s="1">
        <v>0.94205274305555553</v>
      </c>
      <c r="C507" t="s">
        <v>14</v>
      </c>
      <c r="D507" t="s">
        <v>10</v>
      </c>
      <c r="E507" t="s">
        <v>703</v>
      </c>
      <c r="F507">
        <v>37.72</v>
      </c>
      <c r="G507" t="s">
        <v>12</v>
      </c>
      <c r="H507" s="2">
        <v>45429</v>
      </c>
    </row>
    <row r="508" spans="1:8" x14ac:dyDescent="0.25">
      <c r="A508" t="s">
        <v>704</v>
      </c>
      <c r="B508" s="1">
        <v>0.94285672453703706</v>
      </c>
      <c r="C508" t="s">
        <v>14</v>
      </c>
      <c r="D508" t="s">
        <v>10</v>
      </c>
      <c r="E508" t="s">
        <v>705</v>
      </c>
      <c r="F508">
        <v>37.72</v>
      </c>
      <c r="G508" t="s">
        <v>12</v>
      </c>
      <c r="H508" s="2">
        <v>45429</v>
      </c>
    </row>
    <row r="509" spans="1:8" x14ac:dyDescent="0.25">
      <c r="A509" t="s">
        <v>706</v>
      </c>
      <c r="B509" s="1">
        <v>0.33446641203703703</v>
      </c>
      <c r="C509" t="s">
        <v>9</v>
      </c>
      <c r="D509" t="s">
        <v>10</v>
      </c>
      <c r="E509" t="s">
        <v>707</v>
      </c>
      <c r="F509">
        <v>37.72</v>
      </c>
      <c r="G509" t="s">
        <v>93</v>
      </c>
      <c r="H509" s="2">
        <v>45430</v>
      </c>
    </row>
    <row r="510" spans="1:8" x14ac:dyDescent="0.25">
      <c r="A510" t="s">
        <v>708</v>
      </c>
      <c r="B510" s="1">
        <v>0.33518471064814814</v>
      </c>
      <c r="C510" t="s">
        <v>9</v>
      </c>
      <c r="D510" t="s">
        <v>10</v>
      </c>
      <c r="E510" t="s">
        <v>707</v>
      </c>
      <c r="F510">
        <v>37.72</v>
      </c>
      <c r="G510" t="s">
        <v>93</v>
      </c>
      <c r="H510" s="2">
        <v>45430</v>
      </c>
    </row>
    <row r="511" spans="1:8" x14ac:dyDescent="0.25">
      <c r="A511" t="s">
        <v>709</v>
      </c>
      <c r="B511" s="1">
        <v>0.46939917824074073</v>
      </c>
      <c r="C511" t="s">
        <v>9</v>
      </c>
      <c r="D511" t="s">
        <v>10</v>
      </c>
      <c r="E511" t="s">
        <v>710</v>
      </c>
      <c r="F511">
        <v>32.82</v>
      </c>
      <c r="G511" t="s">
        <v>25</v>
      </c>
      <c r="H511" s="2">
        <v>45430</v>
      </c>
    </row>
    <row r="512" spans="1:8" x14ac:dyDescent="0.25">
      <c r="A512" t="s">
        <v>711</v>
      </c>
      <c r="B512" s="1">
        <v>0.7003399768518519</v>
      </c>
      <c r="C512" t="s">
        <v>14</v>
      </c>
      <c r="D512" t="s">
        <v>10</v>
      </c>
      <c r="E512" t="s">
        <v>682</v>
      </c>
      <c r="F512">
        <v>32.82</v>
      </c>
      <c r="G512" t="s">
        <v>25</v>
      </c>
      <c r="H512" s="2">
        <v>45430</v>
      </c>
    </row>
    <row r="513" spans="1:8" x14ac:dyDescent="0.25">
      <c r="A513" t="s">
        <v>712</v>
      </c>
      <c r="B513" s="1">
        <v>0.70100846064814815</v>
      </c>
      <c r="C513" t="s">
        <v>14</v>
      </c>
      <c r="D513" t="s">
        <v>10</v>
      </c>
      <c r="E513" t="s">
        <v>346</v>
      </c>
      <c r="F513">
        <v>32.82</v>
      </c>
      <c r="G513" t="s">
        <v>25</v>
      </c>
      <c r="H513" s="2">
        <v>45430</v>
      </c>
    </row>
    <row r="514" spans="1:8" x14ac:dyDescent="0.25">
      <c r="A514" t="s">
        <v>713</v>
      </c>
      <c r="B514" s="1">
        <v>0.83245613425925924</v>
      </c>
      <c r="C514" t="s">
        <v>14</v>
      </c>
      <c r="D514" t="s">
        <v>10</v>
      </c>
      <c r="E514" t="s">
        <v>124</v>
      </c>
      <c r="F514">
        <v>32.82</v>
      </c>
      <c r="G514" t="s">
        <v>25</v>
      </c>
      <c r="H514" s="2">
        <v>45430</v>
      </c>
    </row>
    <row r="515" spans="1:8" x14ac:dyDescent="0.25">
      <c r="A515" t="s">
        <v>714</v>
      </c>
      <c r="B515" s="1">
        <v>0.84922582175925931</v>
      </c>
      <c r="C515" t="s">
        <v>14</v>
      </c>
      <c r="D515" t="s">
        <v>10</v>
      </c>
      <c r="E515" t="s">
        <v>35</v>
      </c>
      <c r="F515">
        <v>37.72</v>
      </c>
      <c r="G515" t="s">
        <v>12</v>
      </c>
      <c r="H515" s="2">
        <v>45430</v>
      </c>
    </row>
    <row r="516" spans="1:8" x14ac:dyDescent="0.25">
      <c r="A516" t="s">
        <v>715</v>
      </c>
      <c r="B516" s="1">
        <v>0.92045686342592592</v>
      </c>
      <c r="C516" t="s">
        <v>14</v>
      </c>
      <c r="D516" t="s">
        <v>39</v>
      </c>
      <c r="E516" t="s">
        <v>39</v>
      </c>
      <c r="F516">
        <v>39</v>
      </c>
      <c r="G516" t="s">
        <v>93</v>
      </c>
      <c r="H516" s="2">
        <v>45430</v>
      </c>
    </row>
    <row r="517" spans="1:8" x14ac:dyDescent="0.25">
      <c r="A517" t="s">
        <v>716</v>
      </c>
      <c r="B517" s="1">
        <v>0.33238787037037038</v>
      </c>
      <c r="C517" t="s">
        <v>9</v>
      </c>
      <c r="D517" t="s">
        <v>10</v>
      </c>
      <c r="E517" t="s">
        <v>717</v>
      </c>
      <c r="F517">
        <v>27.92</v>
      </c>
      <c r="G517" t="s">
        <v>20</v>
      </c>
      <c r="H517" s="2">
        <v>45431</v>
      </c>
    </row>
    <row r="518" spans="1:8" x14ac:dyDescent="0.25">
      <c r="A518" t="s">
        <v>718</v>
      </c>
      <c r="B518" s="1">
        <v>0.33302718749999999</v>
      </c>
      <c r="C518" t="s">
        <v>9</v>
      </c>
      <c r="D518" t="s">
        <v>10</v>
      </c>
      <c r="E518" t="s">
        <v>717</v>
      </c>
      <c r="F518">
        <v>27.92</v>
      </c>
      <c r="G518" t="s">
        <v>20</v>
      </c>
      <c r="H518" s="2">
        <v>45431</v>
      </c>
    </row>
    <row r="519" spans="1:8" x14ac:dyDescent="0.25">
      <c r="A519" t="s">
        <v>719</v>
      </c>
      <c r="B519" s="1">
        <v>0.33373913194444443</v>
      </c>
      <c r="C519" t="s">
        <v>9</v>
      </c>
      <c r="D519" t="s">
        <v>10</v>
      </c>
      <c r="E519" t="s">
        <v>720</v>
      </c>
      <c r="F519">
        <v>37.72</v>
      </c>
      <c r="G519" t="s">
        <v>93</v>
      </c>
      <c r="H519" s="2">
        <v>45431</v>
      </c>
    </row>
    <row r="520" spans="1:8" x14ac:dyDescent="0.25">
      <c r="A520" t="s">
        <v>721</v>
      </c>
      <c r="B520" s="1">
        <v>0.39501994212962965</v>
      </c>
      <c r="C520" t="s">
        <v>9</v>
      </c>
      <c r="D520" t="s">
        <v>39</v>
      </c>
      <c r="E520" t="s">
        <v>39</v>
      </c>
      <c r="F520">
        <v>24</v>
      </c>
      <c r="G520" t="s">
        <v>72</v>
      </c>
      <c r="H520" s="2">
        <v>45431</v>
      </c>
    </row>
    <row r="521" spans="1:8" x14ac:dyDescent="0.25">
      <c r="A521" t="s">
        <v>722</v>
      </c>
      <c r="B521" s="1">
        <v>0.51003097222222227</v>
      </c>
      <c r="C521" t="s">
        <v>14</v>
      </c>
      <c r="D521" t="s">
        <v>10</v>
      </c>
      <c r="E521" t="s">
        <v>723</v>
      </c>
      <c r="F521">
        <v>32.82</v>
      </c>
      <c r="G521" t="s">
        <v>25</v>
      </c>
      <c r="H521" s="2">
        <v>45431</v>
      </c>
    </row>
    <row r="522" spans="1:8" x14ac:dyDescent="0.25">
      <c r="A522" t="s">
        <v>724</v>
      </c>
      <c r="B522" s="1">
        <v>0.61365797453703708</v>
      </c>
      <c r="C522" t="s">
        <v>14</v>
      </c>
      <c r="D522" t="s">
        <v>10</v>
      </c>
      <c r="E522" t="s">
        <v>43</v>
      </c>
      <c r="F522">
        <v>27.92</v>
      </c>
      <c r="G522" t="s">
        <v>20</v>
      </c>
      <c r="H522" s="2">
        <v>45431</v>
      </c>
    </row>
    <row r="523" spans="1:8" x14ac:dyDescent="0.25">
      <c r="A523" t="s">
        <v>725</v>
      </c>
      <c r="B523" s="1">
        <v>0.66595129629629635</v>
      </c>
      <c r="C523" t="s">
        <v>14</v>
      </c>
      <c r="D523" t="s">
        <v>10</v>
      </c>
      <c r="E523" t="s">
        <v>726</v>
      </c>
      <c r="F523">
        <v>32.82</v>
      </c>
      <c r="G523" t="s">
        <v>25</v>
      </c>
      <c r="H523" s="2">
        <v>45431</v>
      </c>
    </row>
    <row r="524" spans="1:8" x14ac:dyDescent="0.25">
      <c r="A524" t="s">
        <v>727</v>
      </c>
      <c r="B524" s="1">
        <v>0.75875351851851847</v>
      </c>
      <c r="C524" t="s">
        <v>14</v>
      </c>
      <c r="D524" t="s">
        <v>10</v>
      </c>
      <c r="E524" t="s">
        <v>728</v>
      </c>
      <c r="F524">
        <v>32.82</v>
      </c>
      <c r="G524" t="s">
        <v>25</v>
      </c>
      <c r="H524" s="2">
        <v>45431</v>
      </c>
    </row>
    <row r="525" spans="1:8" x14ac:dyDescent="0.25">
      <c r="A525" t="s">
        <v>729</v>
      </c>
      <c r="B525" s="1">
        <v>0.75958057870370366</v>
      </c>
      <c r="C525" t="s">
        <v>14</v>
      </c>
      <c r="D525" t="s">
        <v>10</v>
      </c>
      <c r="E525" t="s">
        <v>728</v>
      </c>
      <c r="F525">
        <v>23.02</v>
      </c>
      <c r="G525" t="s">
        <v>72</v>
      </c>
      <c r="H525" s="2">
        <v>45431</v>
      </c>
    </row>
    <row r="526" spans="1:8" x14ac:dyDescent="0.25">
      <c r="A526" t="s">
        <v>730</v>
      </c>
      <c r="B526" s="1">
        <v>0.76145858796296295</v>
      </c>
      <c r="C526" t="s">
        <v>14</v>
      </c>
      <c r="D526" t="s">
        <v>10</v>
      </c>
      <c r="E526" t="s">
        <v>728</v>
      </c>
      <c r="F526">
        <v>37.72</v>
      </c>
      <c r="G526" t="s">
        <v>16</v>
      </c>
      <c r="H526" s="2">
        <v>45431</v>
      </c>
    </row>
    <row r="527" spans="1:8" x14ac:dyDescent="0.25">
      <c r="A527" t="s">
        <v>731</v>
      </c>
      <c r="B527" s="1">
        <v>0.82716410879629632</v>
      </c>
      <c r="C527" t="s">
        <v>14</v>
      </c>
      <c r="D527" t="s">
        <v>10</v>
      </c>
      <c r="E527" t="s">
        <v>732</v>
      </c>
      <c r="F527">
        <v>37.72</v>
      </c>
      <c r="G527" t="s">
        <v>93</v>
      </c>
      <c r="H527" s="2">
        <v>45431</v>
      </c>
    </row>
    <row r="528" spans="1:8" x14ac:dyDescent="0.25">
      <c r="A528" t="s">
        <v>733</v>
      </c>
      <c r="B528" s="1">
        <v>0.88590001157407405</v>
      </c>
      <c r="C528" t="s">
        <v>14</v>
      </c>
      <c r="D528" t="s">
        <v>10</v>
      </c>
      <c r="E528" t="s">
        <v>734</v>
      </c>
      <c r="F528">
        <v>37.72</v>
      </c>
      <c r="G528" t="s">
        <v>93</v>
      </c>
      <c r="H528" s="2">
        <v>45431</v>
      </c>
    </row>
    <row r="529" spans="1:8" x14ac:dyDescent="0.25">
      <c r="A529" t="s">
        <v>735</v>
      </c>
      <c r="B529" s="1">
        <v>0.88791783564814819</v>
      </c>
      <c r="C529" t="s">
        <v>14</v>
      </c>
      <c r="D529" t="s">
        <v>10</v>
      </c>
      <c r="E529" t="s">
        <v>736</v>
      </c>
      <c r="F529">
        <v>37.72</v>
      </c>
      <c r="G529" t="s">
        <v>93</v>
      </c>
      <c r="H529" s="2">
        <v>45431</v>
      </c>
    </row>
    <row r="530" spans="1:8" x14ac:dyDescent="0.25">
      <c r="A530" t="s">
        <v>737</v>
      </c>
      <c r="B530" s="1">
        <v>0.42082364583333332</v>
      </c>
      <c r="C530" t="s">
        <v>9</v>
      </c>
      <c r="D530" t="s">
        <v>10</v>
      </c>
      <c r="E530" t="s">
        <v>738</v>
      </c>
      <c r="F530">
        <v>32.82</v>
      </c>
      <c r="G530" t="s">
        <v>25</v>
      </c>
      <c r="H530" s="2">
        <v>45432</v>
      </c>
    </row>
    <row r="531" spans="1:8" x14ac:dyDescent="0.25">
      <c r="A531" t="s">
        <v>739</v>
      </c>
      <c r="B531" s="1">
        <v>0.42907253472222223</v>
      </c>
      <c r="C531" t="s">
        <v>9</v>
      </c>
      <c r="D531" t="s">
        <v>10</v>
      </c>
      <c r="E531" t="s">
        <v>740</v>
      </c>
      <c r="F531">
        <v>37.72</v>
      </c>
      <c r="G531" t="s">
        <v>12</v>
      </c>
      <c r="H531" s="2">
        <v>45432</v>
      </c>
    </row>
    <row r="532" spans="1:8" x14ac:dyDescent="0.25">
      <c r="A532" t="s">
        <v>741</v>
      </c>
      <c r="B532" s="1">
        <v>0.45750438657407405</v>
      </c>
      <c r="C532" t="s">
        <v>9</v>
      </c>
      <c r="D532" t="s">
        <v>10</v>
      </c>
      <c r="E532" t="s">
        <v>11</v>
      </c>
      <c r="F532">
        <v>37.72</v>
      </c>
      <c r="G532" t="s">
        <v>12</v>
      </c>
      <c r="H532" s="2">
        <v>45432</v>
      </c>
    </row>
    <row r="533" spans="1:8" x14ac:dyDescent="0.25">
      <c r="A533" t="s">
        <v>742</v>
      </c>
      <c r="B533" s="1">
        <v>0.46893938657407408</v>
      </c>
      <c r="C533" t="s">
        <v>9</v>
      </c>
      <c r="D533" t="s">
        <v>10</v>
      </c>
      <c r="E533" t="s">
        <v>565</v>
      </c>
      <c r="F533">
        <v>27.92</v>
      </c>
      <c r="G533" t="s">
        <v>20</v>
      </c>
      <c r="H533" s="2">
        <v>45432</v>
      </c>
    </row>
    <row r="534" spans="1:8" x14ac:dyDescent="0.25">
      <c r="A534" t="s">
        <v>743</v>
      </c>
      <c r="B534" s="1">
        <v>0.46967172453703704</v>
      </c>
      <c r="C534" t="s">
        <v>9</v>
      </c>
      <c r="D534" t="s">
        <v>10</v>
      </c>
      <c r="E534" t="s">
        <v>565</v>
      </c>
      <c r="F534">
        <v>27.92</v>
      </c>
      <c r="G534" t="s">
        <v>20</v>
      </c>
      <c r="H534" s="2">
        <v>45432</v>
      </c>
    </row>
    <row r="535" spans="1:8" x14ac:dyDescent="0.25">
      <c r="A535" t="s">
        <v>744</v>
      </c>
      <c r="B535" s="1">
        <v>0.56057199074074071</v>
      </c>
      <c r="C535" t="s">
        <v>14</v>
      </c>
      <c r="D535" t="s">
        <v>10</v>
      </c>
      <c r="E535" t="s">
        <v>19</v>
      </c>
      <c r="F535">
        <v>27.92</v>
      </c>
      <c r="G535" t="s">
        <v>20</v>
      </c>
      <c r="H535" s="2">
        <v>45432</v>
      </c>
    </row>
    <row r="536" spans="1:8" x14ac:dyDescent="0.25">
      <c r="A536" t="s">
        <v>745</v>
      </c>
      <c r="B536" s="1">
        <v>0.56123194444444446</v>
      </c>
      <c r="C536" t="s">
        <v>14</v>
      </c>
      <c r="D536" t="s">
        <v>10</v>
      </c>
      <c r="E536" t="s">
        <v>19</v>
      </c>
      <c r="F536">
        <v>27.92</v>
      </c>
      <c r="G536" t="s">
        <v>20</v>
      </c>
      <c r="H536" s="2">
        <v>45432</v>
      </c>
    </row>
    <row r="537" spans="1:8" x14ac:dyDescent="0.25">
      <c r="A537" t="s">
        <v>746</v>
      </c>
      <c r="B537" s="1">
        <v>0.59258121527777774</v>
      </c>
      <c r="C537" t="s">
        <v>14</v>
      </c>
      <c r="D537" t="s">
        <v>10</v>
      </c>
      <c r="E537" t="s">
        <v>747</v>
      </c>
      <c r="F537">
        <v>32.82</v>
      </c>
      <c r="G537" t="s">
        <v>25</v>
      </c>
      <c r="H537" s="2">
        <v>45432</v>
      </c>
    </row>
    <row r="538" spans="1:8" x14ac:dyDescent="0.25">
      <c r="A538" t="s">
        <v>748</v>
      </c>
      <c r="B538" s="1">
        <v>0.59341844907407404</v>
      </c>
      <c r="C538" t="s">
        <v>14</v>
      </c>
      <c r="D538" t="s">
        <v>10</v>
      </c>
      <c r="E538" t="s">
        <v>747</v>
      </c>
      <c r="F538">
        <v>37.72</v>
      </c>
      <c r="G538" t="s">
        <v>93</v>
      </c>
      <c r="H538" s="2">
        <v>45432</v>
      </c>
    </row>
    <row r="539" spans="1:8" x14ac:dyDescent="0.25">
      <c r="A539" t="s">
        <v>749</v>
      </c>
      <c r="B539" s="1">
        <v>0.60580152777777774</v>
      </c>
      <c r="C539" t="s">
        <v>14</v>
      </c>
      <c r="D539" t="s">
        <v>39</v>
      </c>
      <c r="E539" t="s">
        <v>39</v>
      </c>
      <c r="F539">
        <v>29</v>
      </c>
      <c r="G539" t="s">
        <v>20</v>
      </c>
      <c r="H539" s="2">
        <v>45432</v>
      </c>
    </row>
    <row r="540" spans="1:8" x14ac:dyDescent="0.25">
      <c r="A540" t="s">
        <v>750</v>
      </c>
      <c r="B540" s="1">
        <v>0.71725834490740736</v>
      </c>
      <c r="C540" t="s">
        <v>14</v>
      </c>
      <c r="D540" t="s">
        <v>10</v>
      </c>
      <c r="E540" t="s">
        <v>452</v>
      </c>
      <c r="F540">
        <v>37.72</v>
      </c>
      <c r="G540" t="s">
        <v>12</v>
      </c>
      <c r="H540" s="2">
        <v>45432</v>
      </c>
    </row>
    <row r="541" spans="1:8" x14ac:dyDescent="0.25">
      <c r="A541" t="s">
        <v>751</v>
      </c>
      <c r="B541" s="1">
        <v>0.71801964120370365</v>
      </c>
      <c r="C541" t="s">
        <v>14</v>
      </c>
      <c r="D541" t="s">
        <v>10</v>
      </c>
      <c r="E541" t="s">
        <v>752</v>
      </c>
      <c r="F541">
        <v>37.72</v>
      </c>
      <c r="G541" t="s">
        <v>12</v>
      </c>
      <c r="H541" s="2">
        <v>45432</v>
      </c>
    </row>
    <row r="542" spans="1:8" x14ac:dyDescent="0.25">
      <c r="A542" t="s">
        <v>753</v>
      </c>
      <c r="B542" s="1">
        <v>0.85889259259259254</v>
      </c>
      <c r="C542" t="s">
        <v>14</v>
      </c>
      <c r="D542" t="s">
        <v>10</v>
      </c>
      <c r="E542" t="s">
        <v>754</v>
      </c>
      <c r="F542">
        <v>32.82</v>
      </c>
      <c r="G542" t="s">
        <v>25</v>
      </c>
      <c r="H542" s="2">
        <v>45432</v>
      </c>
    </row>
    <row r="543" spans="1:8" x14ac:dyDescent="0.25">
      <c r="A543" t="s">
        <v>755</v>
      </c>
      <c r="B543" s="1">
        <v>0.85969115740740742</v>
      </c>
      <c r="C543" t="s">
        <v>14</v>
      </c>
      <c r="D543" t="s">
        <v>10</v>
      </c>
      <c r="E543" t="s">
        <v>754</v>
      </c>
      <c r="F543">
        <v>37.72</v>
      </c>
      <c r="G543" t="s">
        <v>32</v>
      </c>
      <c r="H543" s="2">
        <v>45432</v>
      </c>
    </row>
    <row r="544" spans="1:8" x14ac:dyDescent="0.25">
      <c r="A544" t="s">
        <v>756</v>
      </c>
      <c r="B544" s="1">
        <v>0.86588061342592593</v>
      </c>
      <c r="C544" t="s">
        <v>14</v>
      </c>
      <c r="D544" t="s">
        <v>10</v>
      </c>
      <c r="E544" t="s">
        <v>757</v>
      </c>
      <c r="F544">
        <v>27.92</v>
      </c>
      <c r="G544" t="s">
        <v>54</v>
      </c>
      <c r="H544" s="2">
        <v>45432</v>
      </c>
    </row>
    <row r="545" spans="1:8" x14ac:dyDescent="0.25">
      <c r="A545" t="s">
        <v>758</v>
      </c>
      <c r="B545" s="1">
        <v>0.900624837962963</v>
      </c>
      <c r="C545" t="s">
        <v>14</v>
      </c>
      <c r="D545" t="s">
        <v>10</v>
      </c>
      <c r="E545" t="s">
        <v>43</v>
      </c>
      <c r="F545">
        <v>32.82</v>
      </c>
      <c r="G545" t="s">
        <v>25</v>
      </c>
      <c r="H545" s="2">
        <v>45432</v>
      </c>
    </row>
    <row r="546" spans="1:8" x14ac:dyDescent="0.25">
      <c r="A546" t="s">
        <v>759</v>
      </c>
      <c r="B546" s="1">
        <v>0.90136315972222225</v>
      </c>
      <c r="C546" t="s">
        <v>14</v>
      </c>
      <c r="D546" t="s">
        <v>10</v>
      </c>
      <c r="E546" t="s">
        <v>43</v>
      </c>
      <c r="F546">
        <v>32.82</v>
      </c>
      <c r="G546" t="s">
        <v>25</v>
      </c>
      <c r="H546" s="2">
        <v>45432</v>
      </c>
    </row>
    <row r="547" spans="1:8" x14ac:dyDescent="0.25">
      <c r="A547" t="s">
        <v>760</v>
      </c>
      <c r="B547" s="1">
        <v>0.3525258101851852</v>
      </c>
      <c r="C547" t="s">
        <v>9</v>
      </c>
      <c r="D547" t="s">
        <v>10</v>
      </c>
      <c r="E547" t="s">
        <v>761</v>
      </c>
      <c r="F547">
        <v>37.72</v>
      </c>
      <c r="G547" t="s">
        <v>12</v>
      </c>
      <c r="H547" s="2">
        <v>45433</v>
      </c>
    </row>
    <row r="548" spans="1:8" x14ac:dyDescent="0.25">
      <c r="A548" t="s">
        <v>762</v>
      </c>
      <c r="B548" s="1">
        <v>0.40544780092592592</v>
      </c>
      <c r="C548" t="s">
        <v>9</v>
      </c>
      <c r="D548" t="s">
        <v>39</v>
      </c>
      <c r="E548" t="s">
        <v>39</v>
      </c>
      <c r="F548">
        <v>29</v>
      </c>
      <c r="G548" t="s">
        <v>20</v>
      </c>
      <c r="H548" s="2">
        <v>45433</v>
      </c>
    </row>
    <row r="549" spans="1:8" x14ac:dyDescent="0.25">
      <c r="A549" t="s">
        <v>763</v>
      </c>
      <c r="B549" s="1">
        <v>0.40602209490740743</v>
      </c>
      <c r="C549" t="s">
        <v>9</v>
      </c>
      <c r="D549" t="s">
        <v>39</v>
      </c>
      <c r="E549" t="s">
        <v>39</v>
      </c>
      <c r="F549">
        <v>34</v>
      </c>
      <c r="G549" t="s">
        <v>25</v>
      </c>
      <c r="H549" s="2">
        <v>45433</v>
      </c>
    </row>
    <row r="550" spans="1:8" x14ac:dyDescent="0.25">
      <c r="A550" t="s">
        <v>764</v>
      </c>
      <c r="B550" s="1">
        <v>0.40705358796296298</v>
      </c>
      <c r="C550" t="s">
        <v>9</v>
      </c>
      <c r="D550" t="s">
        <v>39</v>
      </c>
      <c r="E550" t="s">
        <v>39</v>
      </c>
      <c r="F550">
        <v>39</v>
      </c>
      <c r="G550" t="s">
        <v>32</v>
      </c>
      <c r="H550" s="2">
        <v>45433</v>
      </c>
    </row>
    <row r="551" spans="1:8" x14ac:dyDescent="0.25">
      <c r="A551" t="s">
        <v>765</v>
      </c>
      <c r="B551" s="1">
        <v>0.42023186342592594</v>
      </c>
      <c r="C551" t="s">
        <v>9</v>
      </c>
      <c r="D551" t="s">
        <v>39</v>
      </c>
      <c r="E551" t="s">
        <v>39</v>
      </c>
      <c r="F551">
        <v>39</v>
      </c>
      <c r="G551" t="s">
        <v>12</v>
      </c>
      <c r="H551" s="2">
        <v>45433</v>
      </c>
    </row>
    <row r="552" spans="1:8" x14ac:dyDescent="0.25">
      <c r="A552" t="s">
        <v>766</v>
      </c>
      <c r="B552" s="1">
        <v>0.67384208333333329</v>
      </c>
      <c r="C552" t="s">
        <v>14</v>
      </c>
      <c r="D552" t="s">
        <v>10</v>
      </c>
      <c r="E552" t="s">
        <v>767</v>
      </c>
      <c r="F552">
        <v>37.72</v>
      </c>
      <c r="G552" t="s">
        <v>12</v>
      </c>
      <c r="H552" s="2">
        <v>45433</v>
      </c>
    </row>
    <row r="553" spans="1:8" x14ac:dyDescent="0.25">
      <c r="A553" t="s">
        <v>768</v>
      </c>
      <c r="B553" s="1">
        <v>0.75930553240740739</v>
      </c>
      <c r="C553" t="s">
        <v>14</v>
      </c>
      <c r="D553" t="s">
        <v>10</v>
      </c>
      <c r="E553" t="s">
        <v>43</v>
      </c>
      <c r="F553">
        <v>23.02</v>
      </c>
      <c r="G553" t="s">
        <v>72</v>
      </c>
      <c r="H553" s="2">
        <v>45433</v>
      </c>
    </row>
    <row r="554" spans="1:8" x14ac:dyDescent="0.25">
      <c r="A554" t="s">
        <v>769</v>
      </c>
      <c r="B554" s="1">
        <v>0.79941217592592595</v>
      </c>
      <c r="C554" t="s">
        <v>14</v>
      </c>
      <c r="D554" t="s">
        <v>10</v>
      </c>
      <c r="E554" t="s">
        <v>770</v>
      </c>
      <c r="F554">
        <v>37.72</v>
      </c>
      <c r="G554" t="s">
        <v>93</v>
      </c>
      <c r="H554" s="2">
        <v>45433</v>
      </c>
    </row>
    <row r="555" spans="1:8" x14ac:dyDescent="0.25">
      <c r="A555" t="s">
        <v>771</v>
      </c>
      <c r="B555" s="1">
        <v>0.84292081018518517</v>
      </c>
      <c r="C555" t="s">
        <v>14</v>
      </c>
      <c r="D555" t="s">
        <v>10</v>
      </c>
      <c r="E555" t="s">
        <v>772</v>
      </c>
      <c r="F555">
        <v>37.72</v>
      </c>
      <c r="G555" t="s">
        <v>93</v>
      </c>
      <c r="H555" s="2">
        <v>45433</v>
      </c>
    </row>
    <row r="556" spans="1:8" x14ac:dyDescent="0.25">
      <c r="A556" t="s">
        <v>773</v>
      </c>
      <c r="B556" s="1">
        <v>0.39909511574074075</v>
      </c>
      <c r="C556" t="s">
        <v>9</v>
      </c>
      <c r="D556" t="s">
        <v>10</v>
      </c>
      <c r="E556" t="s">
        <v>774</v>
      </c>
      <c r="F556">
        <v>37.72</v>
      </c>
      <c r="G556" t="s">
        <v>93</v>
      </c>
      <c r="H556" s="2">
        <v>45434</v>
      </c>
    </row>
    <row r="557" spans="1:8" x14ac:dyDescent="0.25">
      <c r="A557" t="s">
        <v>775</v>
      </c>
      <c r="B557" s="1">
        <v>0.45123893518518521</v>
      </c>
      <c r="C557" t="s">
        <v>9</v>
      </c>
      <c r="D557" t="s">
        <v>10</v>
      </c>
      <c r="E557" t="s">
        <v>740</v>
      </c>
      <c r="F557">
        <v>32.82</v>
      </c>
      <c r="G557" t="s">
        <v>25</v>
      </c>
      <c r="H557" s="2">
        <v>45434</v>
      </c>
    </row>
    <row r="558" spans="1:8" x14ac:dyDescent="0.25">
      <c r="A558" t="s">
        <v>776</v>
      </c>
      <c r="B558" s="1">
        <v>0.47099843749999998</v>
      </c>
      <c r="C558" t="s">
        <v>9</v>
      </c>
      <c r="D558" t="s">
        <v>10</v>
      </c>
      <c r="E558" t="s">
        <v>547</v>
      </c>
      <c r="F558">
        <v>27.92</v>
      </c>
      <c r="G558" t="s">
        <v>54</v>
      </c>
      <c r="H558" s="2">
        <v>45434</v>
      </c>
    </row>
    <row r="559" spans="1:8" x14ac:dyDescent="0.25">
      <c r="A559" t="s">
        <v>777</v>
      </c>
      <c r="B559" s="1">
        <v>0.48258064814814816</v>
      </c>
      <c r="C559" t="s">
        <v>9</v>
      </c>
      <c r="D559" t="s">
        <v>10</v>
      </c>
      <c r="E559" t="s">
        <v>346</v>
      </c>
      <c r="F559">
        <v>32.82</v>
      </c>
      <c r="G559" t="s">
        <v>25</v>
      </c>
      <c r="H559" s="2">
        <v>45434</v>
      </c>
    </row>
    <row r="560" spans="1:8" x14ac:dyDescent="0.25">
      <c r="A560" t="s">
        <v>778</v>
      </c>
      <c r="B560" s="1">
        <v>0.52072732638888886</v>
      </c>
      <c r="C560" t="s">
        <v>14</v>
      </c>
      <c r="D560" t="s">
        <v>10</v>
      </c>
      <c r="E560" t="s">
        <v>43</v>
      </c>
      <c r="F560">
        <v>27.92</v>
      </c>
      <c r="G560" t="s">
        <v>20</v>
      </c>
      <c r="H560" s="2">
        <v>45434</v>
      </c>
    </row>
    <row r="561" spans="1:8" x14ac:dyDescent="0.25">
      <c r="A561" t="s">
        <v>779</v>
      </c>
      <c r="B561" s="1">
        <v>0.5213350347222222</v>
      </c>
      <c r="C561" t="s">
        <v>14</v>
      </c>
      <c r="D561" t="s">
        <v>10</v>
      </c>
      <c r="E561" t="s">
        <v>43</v>
      </c>
      <c r="F561">
        <v>27.92</v>
      </c>
      <c r="G561" t="s">
        <v>20</v>
      </c>
      <c r="H561" s="2">
        <v>45434</v>
      </c>
    </row>
    <row r="562" spans="1:8" x14ac:dyDescent="0.25">
      <c r="A562" t="s">
        <v>780</v>
      </c>
      <c r="B562" s="1">
        <v>0.5835705902777778</v>
      </c>
      <c r="C562" t="s">
        <v>14</v>
      </c>
      <c r="D562" t="s">
        <v>10</v>
      </c>
      <c r="E562" t="s">
        <v>35</v>
      </c>
      <c r="F562">
        <v>32.82</v>
      </c>
      <c r="G562" t="s">
        <v>25</v>
      </c>
      <c r="H562" s="2">
        <v>45434</v>
      </c>
    </row>
    <row r="563" spans="1:8" x14ac:dyDescent="0.25">
      <c r="A563" t="s">
        <v>781</v>
      </c>
      <c r="B563" s="1">
        <v>0.8090057638888889</v>
      </c>
      <c r="C563" t="s">
        <v>14</v>
      </c>
      <c r="D563" t="s">
        <v>10</v>
      </c>
      <c r="E563" t="s">
        <v>519</v>
      </c>
      <c r="F563">
        <v>37.72</v>
      </c>
      <c r="G563" t="s">
        <v>93</v>
      </c>
      <c r="H563" s="2">
        <v>45434</v>
      </c>
    </row>
    <row r="564" spans="1:8" x14ac:dyDescent="0.25">
      <c r="A564" t="s">
        <v>782</v>
      </c>
      <c r="B564" s="1">
        <v>0.80970571759259258</v>
      </c>
      <c r="C564" t="s">
        <v>14</v>
      </c>
      <c r="D564" t="s">
        <v>10</v>
      </c>
      <c r="E564" t="s">
        <v>519</v>
      </c>
      <c r="F564">
        <v>37.72</v>
      </c>
      <c r="G564" t="s">
        <v>93</v>
      </c>
      <c r="H564" s="2">
        <v>45434</v>
      </c>
    </row>
    <row r="565" spans="1:8" x14ac:dyDescent="0.25">
      <c r="A565" t="s">
        <v>783</v>
      </c>
      <c r="B565" s="1">
        <v>0.89158564814814811</v>
      </c>
      <c r="C565" t="s">
        <v>14</v>
      </c>
      <c r="D565" t="s">
        <v>10</v>
      </c>
      <c r="E565" t="s">
        <v>707</v>
      </c>
      <c r="F565">
        <v>37.72</v>
      </c>
      <c r="G565" t="s">
        <v>16</v>
      </c>
      <c r="H565" s="2">
        <v>45434</v>
      </c>
    </row>
    <row r="566" spans="1:8" x14ac:dyDescent="0.25">
      <c r="A566" t="s">
        <v>784</v>
      </c>
      <c r="B566" s="1">
        <v>0.89224055555555559</v>
      </c>
      <c r="C566" t="s">
        <v>14</v>
      </c>
      <c r="D566" t="s">
        <v>10</v>
      </c>
      <c r="E566" t="s">
        <v>707</v>
      </c>
      <c r="F566">
        <v>37.72</v>
      </c>
      <c r="G566" t="s">
        <v>93</v>
      </c>
      <c r="H566" s="2">
        <v>45434</v>
      </c>
    </row>
    <row r="567" spans="1:8" x14ac:dyDescent="0.25">
      <c r="A567" t="s">
        <v>785</v>
      </c>
      <c r="B567" s="1">
        <v>0.42383842592592591</v>
      </c>
      <c r="C567" t="s">
        <v>9</v>
      </c>
      <c r="D567" t="s">
        <v>10</v>
      </c>
      <c r="E567" t="s">
        <v>786</v>
      </c>
      <c r="F567">
        <v>37.72</v>
      </c>
      <c r="G567" t="s">
        <v>93</v>
      </c>
      <c r="H567" s="2">
        <v>45435</v>
      </c>
    </row>
    <row r="568" spans="1:8" x14ac:dyDescent="0.25">
      <c r="A568" t="s">
        <v>787</v>
      </c>
      <c r="B568" s="1">
        <v>0.51535422453703705</v>
      </c>
      <c r="C568" t="s">
        <v>14</v>
      </c>
      <c r="D568" t="s">
        <v>10</v>
      </c>
      <c r="E568" t="s">
        <v>788</v>
      </c>
      <c r="F568">
        <v>23.02</v>
      </c>
      <c r="G568" t="s">
        <v>72</v>
      </c>
      <c r="H568" s="2">
        <v>45435</v>
      </c>
    </row>
    <row r="569" spans="1:8" x14ac:dyDescent="0.25">
      <c r="A569" t="s">
        <v>789</v>
      </c>
      <c r="B569" s="1">
        <v>0.66338689814814811</v>
      </c>
      <c r="C569" t="s">
        <v>14</v>
      </c>
      <c r="D569" t="s">
        <v>10</v>
      </c>
      <c r="E569" t="s">
        <v>707</v>
      </c>
      <c r="F569">
        <v>37.72</v>
      </c>
      <c r="G569" t="s">
        <v>93</v>
      </c>
      <c r="H569" s="2">
        <v>45435</v>
      </c>
    </row>
    <row r="570" spans="1:8" x14ac:dyDescent="0.25">
      <c r="A570" t="s">
        <v>790</v>
      </c>
      <c r="B570" s="1">
        <v>0.6642041319444445</v>
      </c>
      <c r="C570" t="s">
        <v>14</v>
      </c>
      <c r="D570" t="s">
        <v>10</v>
      </c>
      <c r="E570" t="s">
        <v>791</v>
      </c>
      <c r="F570">
        <v>37.72</v>
      </c>
      <c r="G570" t="s">
        <v>93</v>
      </c>
      <c r="H570" s="2">
        <v>45435</v>
      </c>
    </row>
    <row r="571" spans="1:8" x14ac:dyDescent="0.25">
      <c r="A571" t="s">
        <v>792</v>
      </c>
      <c r="B571" s="1">
        <v>0.67932931712962963</v>
      </c>
      <c r="C571" t="s">
        <v>14</v>
      </c>
      <c r="D571" t="s">
        <v>10</v>
      </c>
      <c r="E571" t="s">
        <v>707</v>
      </c>
      <c r="F571">
        <v>37.72</v>
      </c>
      <c r="G571" t="s">
        <v>93</v>
      </c>
      <c r="H571" s="2">
        <v>45435</v>
      </c>
    </row>
    <row r="572" spans="1:8" x14ac:dyDescent="0.25">
      <c r="A572" t="s">
        <v>793</v>
      </c>
      <c r="B572" s="1">
        <v>0.69513938657407404</v>
      </c>
      <c r="C572" t="s">
        <v>14</v>
      </c>
      <c r="D572" t="s">
        <v>10</v>
      </c>
      <c r="E572" t="s">
        <v>262</v>
      </c>
      <c r="F572">
        <v>37.72</v>
      </c>
      <c r="G572" t="s">
        <v>12</v>
      </c>
      <c r="H572" s="2">
        <v>45435</v>
      </c>
    </row>
    <row r="573" spans="1:8" x14ac:dyDescent="0.25">
      <c r="A573" t="s">
        <v>794</v>
      </c>
      <c r="B573" s="1">
        <v>0.71844024305555554</v>
      </c>
      <c r="C573" t="s">
        <v>14</v>
      </c>
      <c r="D573" t="s">
        <v>10</v>
      </c>
      <c r="E573" t="s">
        <v>600</v>
      </c>
      <c r="F573">
        <v>37.72</v>
      </c>
      <c r="G573" t="s">
        <v>93</v>
      </c>
      <c r="H573" s="2">
        <v>45435</v>
      </c>
    </row>
    <row r="574" spans="1:8" x14ac:dyDescent="0.25">
      <c r="A574" t="s">
        <v>795</v>
      </c>
      <c r="B574" s="1">
        <v>0.71926922453703701</v>
      </c>
      <c r="C574" t="s">
        <v>14</v>
      </c>
      <c r="D574" t="s">
        <v>10</v>
      </c>
      <c r="E574" t="s">
        <v>600</v>
      </c>
      <c r="F574">
        <v>37.72</v>
      </c>
      <c r="G574" t="s">
        <v>12</v>
      </c>
      <c r="H574" s="2">
        <v>45435</v>
      </c>
    </row>
    <row r="575" spans="1:8" x14ac:dyDescent="0.25">
      <c r="A575" t="s">
        <v>796</v>
      </c>
      <c r="B575" s="1">
        <v>0.79437333333333338</v>
      </c>
      <c r="C575" t="s">
        <v>14</v>
      </c>
      <c r="D575" t="s">
        <v>10</v>
      </c>
      <c r="E575" t="s">
        <v>797</v>
      </c>
      <c r="F575">
        <v>27.92</v>
      </c>
      <c r="G575" t="s">
        <v>54</v>
      </c>
      <c r="H575" s="2">
        <v>45435</v>
      </c>
    </row>
    <row r="576" spans="1:8" x14ac:dyDescent="0.25">
      <c r="A576" t="s">
        <v>798</v>
      </c>
      <c r="B576" s="1">
        <v>0.80380128472222223</v>
      </c>
      <c r="C576" t="s">
        <v>14</v>
      </c>
      <c r="D576" t="s">
        <v>10</v>
      </c>
      <c r="E576" t="s">
        <v>519</v>
      </c>
      <c r="F576">
        <v>37.72</v>
      </c>
      <c r="G576" t="s">
        <v>93</v>
      </c>
      <c r="H576" s="2">
        <v>45435</v>
      </c>
    </row>
    <row r="577" spans="1:8" x14ac:dyDescent="0.25">
      <c r="A577" t="s">
        <v>799</v>
      </c>
      <c r="B577" s="1">
        <v>0.80447243055555551</v>
      </c>
      <c r="C577" t="s">
        <v>14</v>
      </c>
      <c r="D577" t="s">
        <v>10</v>
      </c>
      <c r="E577" t="s">
        <v>800</v>
      </c>
      <c r="F577">
        <v>37.72</v>
      </c>
      <c r="G577" t="s">
        <v>93</v>
      </c>
      <c r="H577" s="2">
        <v>45435</v>
      </c>
    </row>
    <row r="578" spans="1:8" x14ac:dyDescent="0.25">
      <c r="A578" t="s">
        <v>801</v>
      </c>
      <c r="B578" s="1">
        <v>0.82119844907407402</v>
      </c>
      <c r="C578" t="s">
        <v>14</v>
      </c>
      <c r="D578" t="s">
        <v>10</v>
      </c>
      <c r="E578" t="s">
        <v>802</v>
      </c>
      <c r="F578">
        <v>37.72</v>
      </c>
      <c r="G578" t="s">
        <v>93</v>
      </c>
      <c r="H578" s="2">
        <v>45435</v>
      </c>
    </row>
    <row r="579" spans="1:8" x14ac:dyDescent="0.25">
      <c r="A579" t="s">
        <v>803</v>
      </c>
      <c r="B579" s="1">
        <v>0.84376653935185186</v>
      </c>
      <c r="C579" t="s">
        <v>14</v>
      </c>
      <c r="D579" t="s">
        <v>10</v>
      </c>
      <c r="E579" t="s">
        <v>804</v>
      </c>
      <c r="F579">
        <v>37.72</v>
      </c>
      <c r="G579" t="s">
        <v>93</v>
      </c>
      <c r="H579" s="2">
        <v>45435</v>
      </c>
    </row>
    <row r="580" spans="1:8" x14ac:dyDescent="0.25">
      <c r="A580" t="s">
        <v>805</v>
      </c>
      <c r="B580" s="1">
        <v>0.84472459490740737</v>
      </c>
      <c r="C580" t="s">
        <v>14</v>
      </c>
      <c r="D580" t="s">
        <v>10</v>
      </c>
      <c r="E580" t="s">
        <v>804</v>
      </c>
      <c r="F580">
        <v>37.72</v>
      </c>
      <c r="G580" t="s">
        <v>12</v>
      </c>
      <c r="H580" s="2">
        <v>45435</v>
      </c>
    </row>
    <row r="581" spans="1:8" x14ac:dyDescent="0.25">
      <c r="A581" t="s">
        <v>806</v>
      </c>
      <c r="B581" s="1">
        <v>0.95012515046296298</v>
      </c>
      <c r="C581" t="s">
        <v>14</v>
      </c>
      <c r="D581" t="s">
        <v>10</v>
      </c>
      <c r="E581" t="s">
        <v>807</v>
      </c>
      <c r="F581">
        <v>32.82</v>
      </c>
      <c r="G581" t="s">
        <v>25</v>
      </c>
      <c r="H581" s="2">
        <v>45435</v>
      </c>
    </row>
    <row r="582" spans="1:8" x14ac:dyDescent="0.25">
      <c r="A582" t="s">
        <v>808</v>
      </c>
      <c r="B582" s="1">
        <v>0.95528849537037042</v>
      </c>
      <c r="C582" t="s">
        <v>14</v>
      </c>
      <c r="D582" t="s">
        <v>39</v>
      </c>
      <c r="E582" t="s">
        <v>39</v>
      </c>
      <c r="F582">
        <v>39</v>
      </c>
      <c r="G582" t="s">
        <v>16</v>
      </c>
      <c r="H582" s="2">
        <v>45435</v>
      </c>
    </row>
    <row r="583" spans="1:8" x14ac:dyDescent="0.25">
      <c r="A583" t="s">
        <v>809</v>
      </c>
      <c r="B583" s="1">
        <v>0.46665719907407405</v>
      </c>
      <c r="C583" t="s">
        <v>9</v>
      </c>
      <c r="D583" t="s">
        <v>10</v>
      </c>
      <c r="E583" t="s">
        <v>547</v>
      </c>
      <c r="F583">
        <v>27.92</v>
      </c>
      <c r="G583" t="s">
        <v>54</v>
      </c>
      <c r="H583" s="2">
        <v>45436</v>
      </c>
    </row>
    <row r="584" spans="1:8" x14ac:dyDescent="0.25">
      <c r="A584" t="s">
        <v>810</v>
      </c>
      <c r="B584" s="1">
        <v>0.46884653935185183</v>
      </c>
      <c r="C584" t="s">
        <v>9</v>
      </c>
      <c r="D584" t="s">
        <v>10</v>
      </c>
      <c r="E584" t="s">
        <v>43</v>
      </c>
      <c r="F584">
        <v>27.92</v>
      </c>
      <c r="G584" t="s">
        <v>20</v>
      </c>
      <c r="H584" s="2">
        <v>45436</v>
      </c>
    </row>
    <row r="585" spans="1:8" x14ac:dyDescent="0.25">
      <c r="A585" t="s">
        <v>811</v>
      </c>
      <c r="B585" s="1">
        <v>0.46959509259259258</v>
      </c>
      <c r="C585" t="s">
        <v>9</v>
      </c>
      <c r="D585" t="s">
        <v>10</v>
      </c>
      <c r="E585" t="s">
        <v>43</v>
      </c>
      <c r="F585">
        <v>27.92</v>
      </c>
      <c r="G585" t="s">
        <v>20</v>
      </c>
      <c r="H585" s="2">
        <v>45436</v>
      </c>
    </row>
    <row r="586" spans="1:8" x14ac:dyDescent="0.25">
      <c r="A586" t="s">
        <v>812</v>
      </c>
      <c r="B586" s="1">
        <v>0.67175712962962963</v>
      </c>
      <c r="C586" t="s">
        <v>14</v>
      </c>
      <c r="D586" t="s">
        <v>10</v>
      </c>
      <c r="E586" t="s">
        <v>281</v>
      </c>
      <c r="F586">
        <v>37.72</v>
      </c>
      <c r="G586" t="s">
        <v>16</v>
      </c>
      <c r="H586" s="2">
        <v>45436</v>
      </c>
    </row>
    <row r="587" spans="1:8" x14ac:dyDescent="0.25">
      <c r="A587" t="s">
        <v>813</v>
      </c>
      <c r="B587" s="1">
        <v>0.76227233796296301</v>
      </c>
      <c r="C587" t="s">
        <v>14</v>
      </c>
      <c r="D587" t="s">
        <v>10</v>
      </c>
      <c r="E587" t="s">
        <v>814</v>
      </c>
      <c r="F587">
        <v>27.92</v>
      </c>
      <c r="G587" t="s">
        <v>54</v>
      </c>
      <c r="H587" s="2">
        <v>45436</v>
      </c>
    </row>
    <row r="588" spans="1:8" x14ac:dyDescent="0.25">
      <c r="A588" t="s">
        <v>815</v>
      </c>
      <c r="B588" s="1">
        <v>0.76292474537037036</v>
      </c>
      <c r="C588" t="s">
        <v>14</v>
      </c>
      <c r="D588" t="s">
        <v>10</v>
      </c>
      <c r="E588" t="s">
        <v>814</v>
      </c>
      <c r="F588">
        <v>27.92</v>
      </c>
      <c r="G588" t="s">
        <v>54</v>
      </c>
      <c r="H588" s="2">
        <v>45436</v>
      </c>
    </row>
    <row r="589" spans="1:8" x14ac:dyDescent="0.25">
      <c r="A589" t="s">
        <v>816</v>
      </c>
      <c r="B589" s="1">
        <v>0.93796525462962965</v>
      </c>
      <c r="C589" t="s">
        <v>14</v>
      </c>
      <c r="D589" t="s">
        <v>10</v>
      </c>
      <c r="E589" t="s">
        <v>817</v>
      </c>
      <c r="F589">
        <v>32.82</v>
      </c>
      <c r="G589" t="s">
        <v>25</v>
      </c>
      <c r="H589" s="2">
        <v>45436</v>
      </c>
    </row>
    <row r="590" spans="1:8" x14ac:dyDescent="0.25">
      <c r="A590" t="s">
        <v>818</v>
      </c>
      <c r="B590" s="1">
        <v>0.32012520833333336</v>
      </c>
      <c r="C590" t="s">
        <v>9</v>
      </c>
      <c r="D590" t="s">
        <v>39</v>
      </c>
      <c r="E590" t="s">
        <v>39</v>
      </c>
      <c r="F590">
        <v>29</v>
      </c>
      <c r="G590" t="s">
        <v>20</v>
      </c>
      <c r="H590" s="2">
        <v>45437</v>
      </c>
    </row>
    <row r="591" spans="1:8" x14ac:dyDescent="0.25">
      <c r="A591" t="s">
        <v>819</v>
      </c>
      <c r="B591" s="1">
        <v>0.50964569444444441</v>
      </c>
      <c r="C591" t="s">
        <v>14</v>
      </c>
      <c r="D591" t="s">
        <v>10</v>
      </c>
      <c r="E591" t="s">
        <v>820</v>
      </c>
      <c r="F591">
        <v>37.72</v>
      </c>
      <c r="G591" t="s">
        <v>12</v>
      </c>
      <c r="H591" s="2">
        <v>45437</v>
      </c>
    </row>
    <row r="592" spans="1:8" x14ac:dyDescent="0.25">
      <c r="A592" t="s">
        <v>821</v>
      </c>
      <c r="B592" s="1">
        <v>0.52805077546296297</v>
      </c>
      <c r="C592" t="s">
        <v>14</v>
      </c>
      <c r="D592" t="s">
        <v>39</v>
      </c>
      <c r="E592" t="s">
        <v>39</v>
      </c>
      <c r="F592">
        <v>29</v>
      </c>
      <c r="G592" t="s">
        <v>20</v>
      </c>
      <c r="H592" s="2">
        <v>45437</v>
      </c>
    </row>
    <row r="593" spans="1:8" x14ac:dyDescent="0.25">
      <c r="A593" t="s">
        <v>822</v>
      </c>
      <c r="B593" s="1">
        <v>0.52928539351851855</v>
      </c>
      <c r="C593" t="s">
        <v>14</v>
      </c>
      <c r="D593" t="s">
        <v>10</v>
      </c>
      <c r="E593" t="s">
        <v>823</v>
      </c>
      <c r="F593">
        <v>32.82</v>
      </c>
      <c r="G593" t="s">
        <v>25</v>
      </c>
      <c r="H593" s="2">
        <v>45437</v>
      </c>
    </row>
    <row r="594" spans="1:8" x14ac:dyDescent="0.25">
      <c r="A594" t="s">
        <v>824</v>
      </c>
      <c r="B594" s="1">
        <v>0.53001475694444444</v>
      </c>
      <c r="C594" t="s">
        <v>14</v>
      </c>
      <c r="D594" t="s">
        <v>10</v>
      </c>
      <c r="E594" t="s">
        <v>823</v>
      </c>
      <c r="F594">
        <v>32.82</v>
      </c>
      <c r="G594" t="s">
        <v>25</v>
      </c>
      <c r="H594" s="2">
        <v>45437</v>
      </c>
    </row>
    <row r="595" spans="1:8" x14ac:dyDescent="0.25">
      <c r="A595" t="s">
        <v>825</v>
      </c>
      <c r="B595" s="1">
        <v>0.54041723379629625</v>
      </c>
      <c r="C595" t="s">
        <v>14</v>
      </c>
      <c r="D595" t="s">
        <v>10</v>
      </c>
      <c r="E595" t="s">
        <v>826</v>
      </c>
      <c r="F595">
        <v>32.82</v>
      </c>
      <c r="G595" t="s">
        <v>25</v>
      </c>
      <c r="H595" s="2">
        <v>45437</v>
      </c>
    </row>
    <row r="596" spans="1:8" x14ac:dyDescent="0.25">
      <c r="A596" t="s">
        <v>827</v>
      </c>
      <c r="B596" s="1">
        <v>0.69941616898148151</v>
      </c>
      <c r="C596" t="s">
        <v>14</v>
      </c>
      <c r="D596" t="s">
        <v>10</v>
      </c>
      <c r="E596" t="s">
        <v>124</v>
      </c>
      <c r="F596">
        <v>32.82</v>
      </c>
      <c r="G596" t="s">
        <v>25</v>
      </c>
      <c r="H596" s="2">
        <v>45437</v>
      </c>
    </row>
    <row r="597" spans="1:8" x14ac:dyDescent="0.25">
      <c r="A597" t="s">
        <v>828</v>
      </c>
      <c r="B597" s="1">
        <v>0.700194837962963</v>
      </c>
      <c r="C597" t="s">
        <v>14</v>
      </c>
      <c r="D597" t="s">
        <v>10</v>
      </c>
      <c r="E597" t="s">
        <v>124</v>
      </c>
      <c r="F597">
        <v>27.92</v>
      </c>
      <c r="G597" t="s">
        <v>20</v>
      </c>
      <c r="H597" s="2">
        <v>45437</v>
      </c>
    </row>
    <row r="598" spans="1:8" x14ac:dyDescent="0.25">
      <c r="A598" t="s">
        <v>829</v>
      </c>
      <c r="B598" s="1">
        <v>0.43058140046296295</v>
      </c>
      <c r="C598" t="s">
        <v>9</v>
      </c>
      <c r="D598" t="s">
        <v>10</v>
      </c>
      <c r="E598" t="s">
        <v>11</v>
      </c>
      <c r="F598">
        <v>37.72</v>
      </c>
      <c r="G598" t="s">
        <v>12</v>
      </c>
      <c r="H598" s="2">
        <v>45438</v>
      </c>
    </row>
    <row r="599" spans="1:8" x14ac:dyDescent="0.25">
      <c r="A599" t="s">
        <v>830</v>
      </c>
      <c r="B599" s="1">
        <v>0.60057652777777781</v>
      </c>
      <c r="C599" t="s">
        <v>14</v>
      </c>
      <c r="D599" t="s">
        <v>10</v>
      </c>
      <c r="E599" t="s">
        <v>831</v>
      </c>
      <c r="F599">
        <v>32.82</v>
      </c>
      <c r="G599" t="s">
        <v>25</v>
      </c>
      <c r="H599" s="2">
        <v>45438</v>
      </c>
    </row>
    <row r="600" spans="1:8" x14ac:dyDescent="0.25">
      <c r="A600" t="s">
        <v>832</v>
      </c>
      <c r="B600" s="1">
        <v>0.60144962962962967</v>
      </c>
      <c r="C600" t="s">
        <v>14</v>
      </c>
      <c r="D600" t="s">
        <v>10</v>
      </c>
      <c r="E600" t="s">
        <v>833</v>
      </c>
      <c r="F600">
        <v>27.92</v>
      </c>
      <c r="G600" t="s">
        <v>54</v>
      </c>
      <c r="H600" s="2">
        <v>45438</v>
      </c>
    </row>
    <row r="601" spans="1:8" x14ac:dyDescent="0.25">
      <c r="A601" t="s">
        <v>834</v>
      </c>
      <c r="B601" s="1">
        <v>0.61179261574074073</v>
      </c>
      <c r="C601" t="s">
        <v>14</v>
      </c>
      <c r="D601" t="s">
        <v>10</v>
      </c>
      <c r="E601" t="s">
        <v>835</v>
      </c>
      <c r="F601">
        <v>32.82</v>
      </c>
      <c r="G601" t="s">
        <v>25</v>
      </c>
      <c r="H601" s="2">
        <v>45438</v>
      </c>
    </row>
    <row r="602" spans="1:8" x14ac:dyDescent="0.25">
      <c r="A602" t="s">
        <v>836</v>
      </c>
      <c r="B602" s="1">
        <v>0.7217074189814815</v>
      </c>
      <c r="C602" t="s">
        <v>14</v>
      </c>
      <c r="D602" t="s">
        <v>10</v>
      </c>
      <c r="E602" t="s">
        <v>837</v>
      </c>
      <c r="F602">
        <v>37.72</v>
      </c>
      <c r="G602" t="s">
        <v>93</v>
      </c>
      <c r="H602" s="2">
        <v>45438</v>
      </c>
    </row>
    <row r="603" spans="1:8" x14ac:dyDescent="0.25">
      <c r="A603" t="s">
        <v>838</v>
      </c>
      <c r="B603" s="1">
        <v>0.75686160879629627</v>
      </c>
      <c r="C603" t="s">
        <v>14</v>
      </c>
      <c r="D603" t="s">
        <v>10</v>
      </c>
      <c r="E603" t="s">
        <v>839</v>
      </c>
      <c r="F603">
        <v>37.72</v>
      </c>
      <c r="G603" t="s">
        <v>16</v>
      </c>
      <c r="H603" s="2">
        <v>45438</v>
      </c>
    </row>
    <row r="604" spans="1:8" x14ac:dyDescent="0.25">
      <c r="A604" t="s">
        <v>840</v>
      </c>
      <c r="B604" s="1">
        <v>0.75766439814814812</v>
      </c>
      <c r="C604" t="s">
        <v>14</v>
      </c>
      <c r="D604" t="s">
        <v>10</v>
      </c>
      <c r="E604" t="s">
        <v>839</v>
      </c>
      <c r="F604">
        <v>37.72</v>
      </c>
      <c r="G604" t="s">
        <v>16</v>
      </c>
      <c r="H604" s="2">
        <v>45438</v>
      </c>
    </row>
    <row r="605" spans="1:8" x14ac:dyDescent="0.25">
      <c r="A605" t="s">
        <v>841</v>
      </c>
      <c r="B605" s="1">
        <v>0.759193275462963</v>
      </c>
      <c r="C605" t="s">
        <v>14</v>
      </c>
      <c r="D605" t="s">
        <v>10</v>
      </c>
      <c r="E605" t="s">
        <v>839</v>
      </c>
      <c r="F605">
        <v>27.92</v>
      </c>
      <c r="G605" t="s">
        <v>20</v>
      </c>
      <c r="H605" s="2">
        <v>45438</v>
      </c>
    </row>
    <row r="606" spans="1:8" x14ac:dyDescent="0.25">
      <c r="A606" t="s">
        <v>842</v>
      </c>
      <c r="B606" s="1">
        <v>0.77730085648148151</v>
      </c>
      <c r="C606" t="s">
        <v>14</v>
      </c>
      <c r="D606" t="s">
        <v>10</v>
      </c>
      <c r="E606" t="s">
        <v>843</v>
      </c>
      <c r="F606">
        <v>37.72</v>
      </c>
      <c r="G606" t="s">
        <v>12</v>
      </c>
      <c r="H606" s="2">
        <v>45438</v>
      </c>
    </row>
    <row r="607" spans="1:8" x14ac:dyDescent="0.25">
      <c r="A607" t="s">
        <v>844</v>
      </c>
      <c r="B607" s="1">
        <v>0.87447863425925931</v>
      </c>
      <c r="C607" t="s">
        <v>14</v>
      </c>
      <c r="D607" t="s">
        <v>10</v>
      </c>
      <c r="E607" t="s">
        <v>845</v>
      </c>
      <c r="F607">
        <v>37.72</v>
      </c>
      <c r="G607" t="s">
        <v>16</v>
      </c>
      <c r="H607" s="2">
        <v>45438</v>
      </c>
    </row>
    <row r="608" spans="1:8" x14ac:dyDescent="0.25">
      <c r="A608" t="s">
        <v>846</v>
      </c>
      <c r="B608" s="1">
        <v>0.87506444444444442</v>
      </c>
      <c r="C608" t="s">
        <v>14</v>
      </c>
      <c r="D608" t="s">
        <v>10</v>
      </c>
      <c r="E608" t="s">
        <v>845</v>
      </c>
      <c r="F608">
        <v>37.72</v>
      </c>
      <c r="G608" t="s">
        <v>93</v>
      </c>
      <c r="H608" s="2">
        <v>45438</v>
      </c>
    </row>
    <row r="609" spans="1:8" x14ac:dyDescent="0.25">
      <c r="A609" t="s">
        <v>847</v>
      </c>
      <c r="B609" s="1">
        <v>0.87681637731481477</v>
      </c>
      <c r="C609" t="s">
        <v>14</v>
      </c>
      <c r="D609" t="s">
        <v>10</v>
      </c>
      <c r="E609" t="s">
        <v>848</v>
      </c>
      <c r="F609">
        <v>27.92</v>
      </c>
      <c r="G609" t="s">
        <v>54</v>
      </c>
      <c r="H609" s="2">
        <v>45438</v>
      </c>
    </row>
    <row r="610" spans="1:8" x14ac:dyDescent="0.25">
      <c r="A610" t="s">
        <v>849</v>
      </c>
      <c r="B610" s="1">
        <v>0.87768254629629627</v>
      </c>
      <c r="C610" t="s">
        <v>14</v>
      </c>
      <c r="D610" t="s">
        <v>10</v>
      </c>
      <c r="E610" t="s">
        <v>850</v>
      </c>
      <c r="F610">
        <v>37.72</v>
      </c>
      <c r="G610" t="s">
        <v>93</v>
      </c>
      <c r="H610" s="2">
        <v>45438</v>
      </c>
    </row>
    <row r="611" spans="1:8" x14ac:dyDescent="0.25">
      <c r="A611" t="s">
        <v>851</v>
      </c>
      <c r="B611" s="1">
        <v>0.87845861111111112</v>
      </c>
      <c r="C611" t="s">
        <v>14</v>
      </c>
      <c r="D611" t="s">
        <v>10</v>
      </c>
      <c r="E611" t="s">
        <v>848</v>
      </c>
      <c r="F611">
        <v>37.72</v>
      </c>
      <c r="G611" t="s">
        <v>12</v>
      </c>
      <c r="H611" s="2">
        <v>45438</v>
      </c>
    </row>
    <row r="612" spans="1:8" x14ac:dyDescent="0.25">
      <c r="A612" t="s">
        <v>852</v>
      </c>
      <c r="B612" s="1">
        <v>0.87919700231481479</v>
      </c>
      <c r="C612" t="s">
        <v>14</v>
      </c>
      <c r="D612" t="s">
        <v>10</v>
      </c>
      <c r="E612" t="s">
        <v>853</v>
      </c>
      <c r="F612">
        <v>37.72</v>
      </c>
      <c r="G612" t="s">
        <v>93</v>
      </c>
      <c r="H612" s="2">
        <v>45438</v>
      </c>
    </row>
    <row r="613" spans="1:8" x14ac:dyDescent="0.25">
      <c r="A613" t="s">
        <v>854</v>
      </c>
      <c r="B613" s="1">
        <v>0.48258393518518516</v>
      </c>
      <c r="C613" t="s">
        <v>9</v>
      </c>
      <c r="D613" t="s">
        <v>10</v>
      </c>
      <c r="E613" t="s">
        <v>43</v>
      </c>
      <c r="F613">
        <v>27.92</v>
      </c>
      <c r="G613" t="s">
        <v>20</v>
      </c>
      <c r="H613" s="2">
        <v>45439</v>
      </c>
    </row>
    <row r="614" spans="1:8" x14ac:dyDescent="0.25">
      <c r="A614" t="s">
        <v>855</v>
      </c>
      <c r="B614" s="1">
        <v>0.58705657407407408</v>
      </c>
      <c r="C614" t="s">
        <v>14</v>
      </c>
      <c r="D614" t="s">
        <v>10</v>
      </c>
      <c r="E614" t="s">
        <v>856</v>
      </c>
      <c r="F614">
        <v>32.82</v>
      </c>
      <c r="G614" t="s">
        <v>25</v>
      </c>
      <c r="H614" s="2">
        <v>45439</v>
      </c>
    </row>
    <row r="615" spans="1:8" x14ac:dyDescent="0.25">
      <c r="A615" t="s">
        <v>857</v>
      </c>
      <c r="B615" s="1">
        <v>0.58800421296296301</v>
      </c>
      <c r="C615" t="s">
        <v>14</v>
      </c>
      <c r="D615" t="s">
        <v>10</v>
      </c>
      <c r="E615" t="s">
        <v>856</v>
      </c>
      <c r="F615">
        <v>37.72</v>
      </c>
      <c r="G615" t="s">
        <v>32</v>
      </c>
      <c r="H615" s="2">
        <v>45439</v>
      </c>
    </row>
    <row r="616" spans="1:8" x14ac:dyDescent="0.25">
      <c r="A616" t="s">
        <v>858</v>
      </c>
      <c r="B616" s="1">
        <v>0.63303311342592594</v>
      </c>
      <c r="C616" t="s">
        <v>14</v>
      </c>
      <c r="D616" t="s">
        <v>10</v>
      </c>
      <c r="E616" t="s">
        <v>859</v>
      </c>
      <c r="F616">
        <v>27.92</v>
      </c>
      <c r="G616" t="s">
        <v>20</v>
      </c>
      <c r="H616" s="2">
        <v>45439</v>
      </c>
    </row>
    <row r="617" spans="1:8" x14ac:dyDescent="0.25">
      <c r="A617" t="s">
        <v>860</v>
      </c>
      <c r="B617" s="1">
        <v>0.63478921296296298</v>
      </c>
      <c r="C617" t="s">
        <v>14</v>
      </c>
      <c r="D617" t="s">
        <v>10</v>
      </c>
      <c r="E617" t="s">
        <v>859</v>
      </c>
      <c r="F617">
        <v>27.92</v>
      </c>
      <c r="G617" t="s">
        <v>20</v>
      </c>
      <c r="H617" s="2">
        <v>45439</v>
      </c>
    </row>
    <row r="618" spans="1:8" x14ac:dyDescent="0.25">
      <c r="A618" t="s">
        <v>861</v>
      </c>
      <c r="B618" s="1">
        <v>0.74370096064814817</v>
      </c>
      <c r="C618" t="s">
        <v>14</v>
      </c>
      <c r="D618" t="s">
        <v>10</v>
      </c>
      <c r="E618" t="s">
        <v>791</v>
      </c>
      <c r="F618">
        <v>37.72</v>
      </c>
      <c r="G618" t="s">
        <v>12</v>
      </c>
      <c r="H618" s="2">
        <v>45439</v>
      </c>
    </row>
    <row r="619" spans="1:8" x14ac:dyDescent="0.25">
      <c r="A619" t="s">
        <v>862</v>
      </c>
      <c r="B619" s="1">
        <v>0.75059008101851854</v>
      </c>
      <c r="C619" t="s">
        <v>14</v>
      </c>
      <c r="D619" t="s">
        <v>10</v>
      </c>
      <c r="E619" t="s">
        <v>863</v>
      </c>
      <c r="F619">
        <v>27.92</v>
      </c>
      <c r="G619" t="s">
        <v>20</v>
      </c>
      <c r="H619" s="2">
        <v>45439</v>
      </c>
    </row>
    <row r="620" spans="1:8" x14ac:dyDescent="0.25">
      <c r="A620" t="s">
        <v>864</v>
      </c>
      <c r="B620" s="1">
        <v>0.80309495370370365</v>
      </c>
      <c r="C620" t="s">
        <v>14</v>
      </c>
      <c r="D620" t="s">
        <v>10</v>
      </c>
      <c r="E620" t="s">
        <v>865</v>
      </c>
      <c r="F620">
        <v>37.72</v>
      </c>
      <c r="G620" t="s">
        <v>12</v>
      </c>
      <c r="H620" s="2">
        <v>45439</v>
      </c>
    </row>
    <row r="621" spans="1:8" x14ac:dyDescent="0.25">
      <c r="A621" t="s">
        <v>866</v>
      </c>
      <c r="B621" s="1">
        <v>0.80392047453703708</v>
      </c>
      <c r="C621" t="s">
        <v>14</v>
      </c>
      <c r="D621" t="s">
        <v>10</v>
      </c>
      <c r="E621" t="s">
        <v>867</v>
      </c>
      <c r="F621">
        <v>37.72</v>
      </c>
      <c r="G621" t="s">
        <v>12</v>
      </c>
      <c r="H621" s="2">
        <v>45439</v>
      </c>
    </row>
    <row r="622" spans="1:8" x14ac:dyDescent="0.25">
      <c r="A622" t="s">
        <v>868</v>
      </c>
      <c r="B622" s="1">
        <v>0.89522089120370374</v>
      </c>
      <c r="C622" t="s">
        <v>14</v>
      </c>
      <c r="D622" t="s">
        <v>10</v>
      </c>
      <c r="E622" t="s">
        <v>747</v>
      </c>
      <c r="F622">
        <v>32.82</v>
      </c>
      <c r="G622" t="s">
        <v>25</v>
      </c>
      <c r="H622" s="2">
        <v>45439</v>
      </c>
    </row>
    <row r="623" spans="1:8" x14ac:dyDescent="0.25">
      <c r="A623" t="s">
        <v>869</v>
      </c>
      <c r="B623" s="1">
        <v>0.89606217592592596</v>
      </c>
      <c r="C623" t="s">
        <v>14</v>
      </c>
      <c r="D623" t="s">
        <v>10</v>
      </c>
      <c r="E623" t="s">
        <v>802</v>
      </c>
      <c r="F623">
        <v>37.72</v>
      </c>
      <c r="G623" t="s">
        <v>93</v>
      </c>
      <c r="H623" s="2">
        <v>45439</v>
      </c>
    </row>
    <row r="624" spans="1:8" x14ac:dyDescent="0.25">
      <c r="A624" t="s">
        <v>870</v>
      </c>
      <c r="B624" s="1">
        <v>0.35913226851851854</v>
      </c>
      <c r="C624" t="s">
        <v>9</v>
      </c>
      <c r="D624" t="s">
        <v>10</v>
      </c>
      <c r="E624" t="s">
        <v>43</v>
      </c>
      <c r="F624">
        <v>32.82</v>
      </c>
      <c r="G624" t="s">
        <v>25</v>
      </c>
      <c r="H624" s="2">
        <v>45440</v>
      </c>
    </row>
    <row r="625" spans="1:8" x14ac:dyDescent="0.25">
      <c r="A625" t="s">
        <v>871</v>
      </c>
      <c r="B625" s="1">
        <v>0.38901314814814814</v>
      </c>
      <c r="C625" t="s">
        <v>9</v>
      </c>
      <c r="D625" t="s">
        <v>10</v>
      </c>
      <c r="E625" t="s">
        <v>346</v>
      </c>
      <c r="F625">
        <v>32.82</v>
      </c>
      <c r="G625" t="s">
        <v>25</v>
      </c>
      <c r="H625" s="2">
        <v>45440</v>
      </c>
    </row>
    <row r="626" spans="1:8" x14ac:dyDescent="0.25">
      <c r="A626" t="s">
        <v>872</v>
      </c>
      <c r="B626" s="1">
        <v>0.49188071759259261</v>
      </c>
      <c r="C626" t="s">
        <v>9</v>
      </c>
      <c r="D626" t="s">
        <v>10</v>
      </c>
      <c r="E626" t="s">
        <v>873</v>
      </c>
      <c r="F626">
        <v>37.72</v>
      </c>
      <c r="G626" t="s">
        <v>93</v>
      </c>
      <c r="H626" s="2">
        <v>45440</v>
      </c>
    </row>
    <row r="627" spans="1:8" x14ac:dyDescent="0.25">
      <c r="A627" t="s">
        <v>874</v>
      </c>
      <c r="B627" s="1">
        <v>0.55185688657407406</v>
      </c>
      <c r="C627" t="s">
        <v>14</v>
      </c>
      <c r="D627" t="s">
        <v>10</v>
      </c>
      <c r="E627" t="s">
        <v>875</v>
      </c>
      <c r="F627">
        <v>37.72</v>
      </c>
      <c r="G627" t="s">
        <v>93</v>
      </c>
      <c r="H627" s="2">
        <v>45440</v>
      </c>
    </row>
    <row r="628" spans="1:8" x14ac:dyDescent="0.25">
      <c r="A628" t="s">
        <v>876</v>
      </c>
      <c r="B628" s="1">
        <v>0.59089920138888885</v>
      </c>
      <c r="C628" t="s">
        <v>14</v>
      </c>
      <c r="D628" t="s">
        <v>10</v>
      </c>
      <c r="E628" t="s">
        <v>754</v>
      </c>
      <c r="F628">
        <v>37.72</v>
      </c>
      <c r="G628" t="s">
        <v>32</v>
      </c>
      <c r="H628" s="2">
        <v>45440</v>
      </c>
    </row>
    <row r="629" spans="1:8" x14ac:dyDescent="0.25">
      <c r="A629" t="s">
        <v>877</v>
      </c>
      <c r="B629" s="1">
        <v>0.68448298611111114</v>
      </c>
      <c r="C629" t="s">
        <v>14</v>
      </c>
      <c r="D629" t="s">
        <v>10</v>
      </c>
      <c r="E629" t="s">
        <v>547</v>
      </c>
      <c r="F629">
        <v>27.92</v>
      </c>
      <c r="G629" t="s">
        <v>54</v>
      </c>
      <c r="H629" s="2">
        <v>45440</v>
      </c>
    </row>
    <row r="630" spans="1:8" x14ac:dyDescent="0.25">
      <c r="A630" t="s">
        <v>878</v>
      </c>
      <c r="B630" s="1">
        <v>0.72342554398148151</v>
      </c>
      <c r="C630" t="s">
        <v>14</v>
      </c>
      <c r="D630" t="s">
        <v>39</v>
      </c>
      <c r="E630" t="s">
        <v>39</v>
      </c>
      <c r="F630">
        <v>39</v>
      </c>
      <c r="G630" t="s">
        <v>93</v>
      </c>
      <c r="H630" s="2">
        <v>45440</v>
      </c>
    </row>
    <row r="631" spans="1:8" x14ac:dyDescent="0.25">
      <c r="A631" t="s">
        <v>879</v>
      </c>
      <c r="B631" s="1">
        <v>0.79825311342592598</v>
      </c>
      <c r="C631" t="s">
        <v>14</v>
      </c>
      <c r="D631" t="s">
        <v>10</v>
      </c>
      <c r="E631" t="s">
        <v>880</v>
      </c>
      <c r="F631">
        <v>27.92</v>
      </c>
      <c r="G631" t="s">
        <v>20</v>
      </c>
      <c r="H631" s="2">
        <v>45440</v>
      </c>
    </row>
    <row r="632" spans="1:8" x14ac:dyDescent="0.25">
      <c r="A632" t="s">
        <v>881</v>
      </c>
      <c r="B632" s="1">
        <v>0.79897071759259264</v>
      </c>
      <c r="C632" t="s">
        <v>14</v>
      </c>
      <c r="D632" t="s">
        <v>10</v>
      </c>
      <c r="E632" t="s">
        <v>880</v>
      </c>
      <c r="F632">
        <v>37.72</v>
      </c>
      <c r="G632" t="s">
        <v>12</v>
      </c>
      <c r="H632" s="2">
        <v>45440</v>
      </c>
    </row>
    <row r="633" spans="1:8" x14ac:dyDescent="0.25">
      <c r="A633" t="s">
        <v>882</v>
      </c>
      <c r="B633" s="1">
        <v>0.85037274305555555</v>
      </c>
      <c r="C633" t="s">
        <v>14</v>
      </c>
      <c r="D633" t="s">
        <v>10</v>
      </c>
      <c r="E633" t="s">
        <v>35</v>
      </c>
      <c r="F633">
        <v>32.82</v>
      </c>
      <c r="G633" t="s">
        <v>25</v>
      </c>
      <c r="H633" s="2">
        <v>45440</v>
      </c>
    </row>
    <row r="634" spans="1:8" x14ac:dyDescent="0.25">
      <c r="A634" t="s">
        <v>883</v>
      </c>
      <c r="B634" s="1">
        <v>0.86828065972222224</v>
      </c>
      <c r="C634" t="s">
        <v>14</v>
      </c>
      <c r="D634" t="s">
        <v>10</v>
      </c>
      <c r="E634" t="s">
        <v>43</v>
      </c>
      <c r="F634">
        <v>27.92</v>
      </c>
      <c r="G634" t="s">
        <v>20</v>
      </c>
      <c r="H634" s="2">
        <v>45440</v>
      </c>
    </row>
    <row r="635" spans="1:8" x14ac:dyDescent="0.25">
      <c r="A635" t="s">
        <v>884</v>
      </c>
      <c r="B635" s="1">
        <v>0.38522805555555556</v>
      </c>
      <c r="C635" t="s">
        <v>9</v>
      </c>
      <c r="D635" t="s">
        <v>10</v>
      </c>
      <c r="E635" t="s">
        <v>885</v>
      </c>
      <c r="F635">
        <v>37.72</v>
      </c>
      <c r="G635" t="s">
        <v>12</v>
      </c>
      <c r="H635" s="2">
        <v>45441</v>
      </c>
    </row>
    <row r="636" spans="1:8" x14ac:dyDescent="0.25">
      <c r="A636" t="s">
        <v>886</v>
      </c>
      <c r="B636" s="1">
        <v>0.45054144675925928</v>
      </c>
      <c r="C636" t="s">
        <v>9</v>
      </c>
      <c r="D636" t="s">
        <v>39</v>
      </c>
      <c r="E636" t="s">
        <v>39</v>
      </c>
      <c r="F636">
        <v>39</v>
      </c>
      <c r="G636" t="s">
        <v>12</v>
      </c>
      <c r="H636" s="2">
        <v>45441</v>
      </c>
    </row>
    <row r="637" spans="1:8" x14ac:dyDescent="0.25">
      <c r="A637" t="s">
        <v>887</v>
      </c>
      <c r="B637" s="1">
        <v>0.46808859953703702</v>
      </c>
      <c r="C637" t="s">
        <v>9</v>
      </c>
      <c r="D637" t="s">
        <v>10</v>
      </c>
      <c r="E637" t="s">
        <v>888</v>
      </c>
      <c r="F637">
        <v>37.72</v>
      </c>
      <c r="G637" t="s">
        <v>16</v>
      </c>
      <c r="H637" s="2">
        <v>45441</v>
      </c>
    </row>
    <row r="638" spans="1:8" x14ac:dyDescent="0.25">
      <c r="A638" t="s">
        <v>889</v>
      </c>
      <c r="B638" s="1">
        <v>0.63250630787037032</v>
      </c>
      <c r="C638" t="s">
        <v>14</v>
      </c>
      <c r="D638" t="s">
        <v>10</v>
      </c>
      <c r="E638" t="s">
        <v>890</v>
      </c>
      <c r="F638">
        <v>27.92</v>
      </c>
      <c r="G638" t="s">
        <v>20</v>
      </c>
      <c r="H638" s="2">
        <v>45441</v>
      </c>
    </row>
    <row r="639" spans="1:8" x14ac:dyDescent="0.25">
      <c r="A639" t="s">
        <v>891</v>
      </c>
      <c r="B639" s="1">
        <v>0.64092964120370366</v>
      </c>
      <c r="C639" t="s">
        <v>14</v>
      </c>
      <c r="D639" t="s">
        <v>10</v>
      </c>
      <c r="E639" t="s">
        <v>892</v>
      </c>
      <c r="F639">
        <v>37.72</v>
      </c>
      <c r="G639" t="s">
        <v>12</v>
      </c>
      <c r="H639" s="2">
        <v>45441</v>
      </c>
    </row>
    <row r="640" spans="1:8" x14ac:dyDescent="0.25">
      <c r="A640" t="s">
        <v>893</v>
      </c>
      <c r="B640" s="1">
        <v>0.65639743055555555</v>
      </c>
      <c r="C640" t="s">
        <v>14</v>
      </c>
      <c r="D640" t="s">
        <v>10</v>
      </c>
      <c r="E640" t="s">
        <v>894</v>
      </c>
      <c r="F640">
        <v>37.72</v>
      </c>
      <c r="G640" t="s">
        <v>93</v>
      </c>
      <c r="H640" s="2">
        <v>45441</v>
      </c>
    </row>
    <row r="641" spans="1:8" x14ac:dyDescent="0.25">
      <c r="A641" t="s">
        <v>895</v>
      </c>
      <c r="B641" s="1">
        <v>0.69796238425925927</v>
      </c>
      <c r="C641" t="s">
        <v>14</v>
      </c>
      <c r="D641" t="s">
        <v>10</v>
      </c>
      <c r="E641" t="s">
        <v>896</v>
      </c>
      <c r="F641">
        <v>37.72</v>
      </c>
      <c r="G641" t="s">
        <v>12</v>
      </c>
      <c r="H641" s="2">
        <v>45441</v>
      </c>
    </row>
    <row r="642" spans="1:8" x14ac:dyDescent="0.25">
      <c r="A642" t="s">
        <v>897</v>
      </c>
      <c r="B642" s="1">
        <v>0.76670525462962968</v>
      </c>
      <c r="C642" t="s">
        <v>14</v>
      </c>
      <c r="D642" t="s">
        <v>10</v>
      </c>
      <c r="E642" t="s">
        <v>898</v>
      </c>
      <c r="F642">
        <v>27.92</v>
      </c>
      <c r="G642" t="s">
        <v>54</v>
      </c>
      <c r="H642" s="2">
        <v>45441</v>
      </c>
    </row>
    <row r="643" spans="1:8" x14ac:dyDescent="0.25">
      <c r="A643" t="s">
        <v>899</v>
      </c>
      <c r="B643" s="1">
        <v>0.76735313657407411</v>
      </c>
      <c r="C643" t="s">
        <v>14</v>
      </c>
      <c r="D643" t="s">
        <v>10</v>
      </c>
      <c r="E643" t="s">
        <v>898</v>
      </c>
      <c r="F643">
        <v>37.72</v>
      </c>
      <c r="G643" t="s">
        <v>12</v>
      </c>
      <c r="H643" s="2">
        <v>45441</v>
      </c>
    </row>
    <row r="644" spans="1:8" x14ac:dyDescent="0.25">
      <c r="A644" t="s">
        <v>900</v>
      </c>
      <c r="B644" s="1">
        <v>0.8546555555555555</v>
      </c>
      <c r="C644" t="s">
        <v>14</v>
      </c>
      <c r="D644" t="s">
        <v>10</v>
      </c>
      <c r="E644" t="s">
        <v>901</v>
      </c>
      <c r="F644">
        <v>37.72</v>
      </c>
      <c r="G644" t="s">
        <v>16</v>
      </c>
      <c r="H644" s="2">
        <v>45441</v>
      </c>
    </row>
    <row r="645" spans="1:8" x14ac:dyDescent="0.25">
      <c r="A645" t="s">
        <v>902</v>
      </c>
      <c r="B645" s="1">
        <v>0.85596296296296293</v>
      </c>
      <c r="C645" t="s">
        <v>14</v>
      </c>
      <c r="D645" t="s">
        <v>10</v>
      </c>
      <c r="E645" t="s">
        <v>903</v>
      </c>
      <c r="F645">
        <v>37.72</v>
      </c>
      <c r="G645" t="s">
        <v>32</v>
      </c>
      <c r="H645" s="2">
        <v>45441</v>
      </c>
    </row>
    <row r="646" spans="1:8" x14ac:dyDescent="0.25">
      <c r="A646" t="s">
        <v>904</v>
      </c>
      <c r="B646" s="1">
        <v>0.3535448726851852</v>
      </c>
      <c r="C646" t="s">
        <v>9</v>
      </c>
      <c r="D646" t="s">
        <v>10</v>
      </c>
      <c r="E646" t="s">
        <v>905</v>
      </c>
      <c r="F646">
        <v>37.72</v>
      </c>
      <c r="G646" t="s">
        <v>93</v>
      </c>
      <c r="H646" s="2">
        <v>45442</v>
      </c>
    </row>
    <row r="647" spans="1:8" x14ac:dyDescent="0.25">
      <c r="A647" t="s">
        <v>906</v>
      </c>
      <c r="B647" s="1">
        <v>0.35441650462962965</v>
      </c>
      <c r="C647" t="s">
        <v>9</v>
      </c>
      <c r="D647" t="s">
        <v>10</v>
      </c>
      <c r="E647" t="s">
        <v>905</v>
      </c>
      <c r="F647">
        <v>37.72</v>
      </c>
      <c r="G647" t="s">
        <v>12</v>
      </c>
      <c r="H647" s="2">
        <v>45442</v>
      </c>
    </row>
    <row r="648" spans="1:8" x14ac:dyDescent="0.25">
      <c r="A648" t="s">
        <v>907</v>
      </c>
      <c r="B648" s="1">
        <v>0.35909006944444444</v>
      </c>
      <c r="C648" t="s">
        <v>9</v>
      </c>
      <c r="D648" t="s">
        <v>10</v>
      </c>
      <c r="E648" t="s">
        <v>908</v>
      </c>
      <c r="F648">
        <v>32.82</v>
      </c>
      <c r="G648" t="s">
        <v>25</v>
      </c>
      <c r="H648" s="2">
        <v>45442</v>
      </c>
    </row>
    <row r="649" spans="1:8" x14ac:dyDescent="0.25">
      <c r="A649" t="s">
        <v>909</v>
      </c>
      <c r="B649" s="1">
        <v>0.40832282407407405</v>
      </c>
      <c r="C649" t="s">
        <v>9</v>
      </c>
      <c r="D649" t="s">
        <v>10</v>
      </c>
      <c r="E649" t="s">
        <v>11</v>
      </c>
      <c r="F649">
        <v>37.72</v>
      </c>
      <c r="G649" t="s">
        <v>12</v>
      </c>
      <c r="H649" s="2">
        <v>45442</v>
      </c>
    </row>
    <row r="650" spans="1:8" x14ac:dyDescent="0.25">
      <c r="A650" t="s">
        <v>910</v>
      </c>
      <c r="B650" s="1">
        <v>0.6224013078703704</v>
      </c>
      <c r="C650" t="s">
        <v>14</v>
      </c>
      <c r="D650" t="s">
        <v>10</v>
      </c>
      <c r="E650" t="s">
        <v>346</v>
      </c>
      <c r="F650">
        <v>32.82</v>
      </c>
      <c r="G650" t="s">
        <v>25</v>
      </c>
      <c r="H650" s="2">
        <v>45442</v>
      </c>
    </row>
    <row r="651" spans="1:8" x14ac:dyDescent="0.25">
      <c r="A651" t="s">
        <v>911</v>
      </c>
      <c r="B651" s="1">
        <v>0.63629241898148148</v>
      </c>
      <c r="C651" t="s">
        <v>14</v>
      </c>
      <c r="D651" t="s">
        <v>10</v>
      </c>
      <c r="E651" t="s">
        <v>912</v>
      </c>
      <c r="F651">
        <v>23.02</v>
      </c>
      <c r="G651" t="s">
        <v>72</v>
      </c>
      <c r="H651" s="2">
        <v>45442</v>
      </c>
    </row>
    <row r="652" spans="1:8" x14ac:dyDescent="0.25">
      <c r="A652" t="s">
        <v>913</v>
      </c>
      <c r="B652" s="1">
        <v>0.63725296296296297</v>
      </c>
      <c r="C652" t="s">
        <v>14</v>
      </c>
      <c r="D652" t="s">
        <v>10</v>
      </c>
      <c r="E652" t="s">
        <v>43</v>
      </c>
      <c r="F652">
        <v>23.02</v>
      </c>
      <c r="G652" t="s">
        <v>72</v>
      </c>
      <c r="H652" s="2">
        <v>45442</v>
      </c>
    </row>
    <row r="653" spans="1:8" x14ac:dyDescent="0.25">
      <c r="A653" t="s">
        <v>914</v>
      </c>
      <c r="B653" s="1">
        <v>0.82860172453703707</v>
      </c>
      <c r="C653" t="s">
        <v>14</v>
      </c>
      <c r="D653" t="s">
        <v>10</v>
      </c>
      <c r="E653" t="s">
        <v>802</v>
      </c>
      <c r="F653">
        <v>37.72</v>
      </c>
      <c r="G653" t="s">
        <v>93</v>
      </c>
      <c r="H653" s="2">
        <v>45442</v>
      </c>
    </row>
    <row r="654" spans="1:8" x14ac:dyDescent="0.25">
      <c r="A654" t="s">
        <v>915</v>
      </c>
      <c r="B654" s="1">
        <v>0.85492395833333334</v>
      </c>
      <c r="C654" t="s">
        <v>14</v>
      </c>
      <c r="D654" t="s">
        <v>10</v>
      </c>
      <c r="E654" t="s">
        <v>916</v>
      </c>
      <c r="F654">
        <v>37.72</v>
      </c>
      <c r="G654" t="s">
        <v>12</v>
      </c>
      <c r="H654" s="2">
        <v>45442</v>
      </c>
    </row>
    <row r="655" spans="1:8" x14ac:dyDescent="0.25">
      <c r="A655" t="s">
        <v>917</v>
      </c>
      <c r="B655" s="1">
        <v>0.86543790509259255</v>
      </c>
      <c r="C655" t="s">
        <v>14</v>
      </c>
      <c r="D655" t="s">
        <v>10</v>
      </c>
      <c r="E655" t="s">
        <v>35</v>
      </c>
      <c r="F655">
        <v>37.72</v>
      </c>
      <c r="G655" t="s">
        <v>16</v>
      </c>
      <c r="H655" s="2">
        <v>45442</v>
      </c>
    </row>
    <row r="656" spans="1:8" x14ac:dyDescent="0.25">
      <c r="A656" t="s">
        <v>918</v>
      </c>
      <c r="B656" s="1">
        <v>0.86622206018518522</v>
      </c>
      <c r="C656" t="s">
        <v>14</v>
      </c>
      <c r="D656" t="s">
        <v>10</v>
      </c>
      <c r="E656" t="s">
        <v>35</v>
      </c>
      <c r="F656">
        <v>32.82</v>
      </c>
      <c r="G656" t="s">
        <v>25</v>
      </c>
      <c r="H656" s="2">
        <v>45442</v>
      </c>
    </row>
    <row r="657" spans="1:8" x14ac:dyDescent="0.25">
      <c r="A657" t="s">
        <v>919</v>
      </c>
      <c r="B657" s="1">
        <v>0.32913511574074072</v>
      </c>
      <c r="C657" t="s">
        <v>9</v>
      </c>
      <c r="D657" t="s">
        <v>10</v>
      </c>
      <c r="E657" t="s">
        <v>920</v>
      </c>
      <c r="F657">
        <v>32.82</v>
      </c>
      <c r="G657" t="s">
        <v>25</v>
      </c>
      <c r="H657" s="2">
        <v>45443</v>
      </c>
    </row>
    <row r="658" spans="1:8" x14ac:dyDescent="0.25">
      <c r="A658" t="s">
        <v>921</v>
      </c>
      <c r="B658" s="1">
        <v>0.38967385416666667</v>
      </c>
      <c r="C658" t="s">
        <v>9</v>
      </c>
      <c r="D658" t="s">
        <v>10</v>
      </c>
      <c r="E658" t="s">
        <v>922</v>
      </c>
      <c r="F658">
        <v>37.72</v>
      </c>
      <c r="G658" t="s">
        <v>12</v>
      </c>
      <c r="H658" s="2">
        <v>45443</v>
      </c>
    </row>
    <row r="659" spans="1:8" x14ac:dyDescent="0.25">
      <c r="A659" t="s">
        <v>923</v>
      </c>
      <c r="B659" s="1">
        <v>0.39165267361111111</v>
      </c>
      <c r="C659" t="s">
        <v>9</v>
      </c>
      <c r="D659" t="s">
        <v>39</v>
      </c>
      <c r="E659" t="s">
        <v>39</v>
      </c>
      <c r="F659">
        <v>39</v>
      </c>
      <c r="G659" t="s">
        <v>12</v>
      </c>
      <c r="H659" s="2">
        <v>45443</v>
      </c>
    </row>
    <row r="660" spans="1:8" x14ac:dyDescent="0.25">
      <c r="A660" t="s">
        <v>924</v>
      </c>
      <c r="B660" s="1">
        <v>0.44314653935185183</v>
      </c>
      <c r="C660" t="s">
        <v>9</v>
      </c>
      <c r="D660" t="s">
        <v>10</v>
      </c>
      <c r="E660" t="s">
        <v>925</v>
      </c>
      <c r="F660">
        <v>37.72</v>
      </c>
      <c r="G660" t="s">
        <v>16</v>
      </c>
      <c r="H660" s="2">
        <v>45443</v>
      </c>
    </row>
    <row r="661" spans="1:8" x14ac:dyDescent="0.25">
      <c r="A661" t="s">
        <v>926</v>
      </c>
      <c r="B661" s="1">
        <v>0.44382101851851852</v>
      </c>
      <c r="C661" t="s">
        <v>9</v>
      </c>
      <c r="D661" t="s">
        <v>10</v>
      </c>
      <c r="E661" t="s">
        <v>927</v>
      </c>
      <c r="F661">
        <v>37.72</v>
      </c>
      <c r="G661" t="s">
        <v>32</v>
      </c>
      <c r="H661" s="2">
        <v>45443</v>
      </c>
    </row>
    <row r="662" spans="1:8" x14ac:dyDescent="0.25">
      <c r="A662" t="s">
        <v>928</v>
      </c>
      <c r="B662" s="1">
        <v>0.61820574074074075</v>
      </c>
      <c r="C662" t="s">
        <v>14</v>
      </c>
      <c r="D662" t="s">
        <v>10</v>
      </c>
      <c r="E662" t="s">
        <v>929</v>
      </c>
      <c r="F662">
        <v>32.82</v>
      </c>
      <c r="G662" t="s">
        <v>25</v>
      </c>
      <c r="H662" s="2">
        <v>45443</v>
      </c>
    </row>
    <row r="663" spans="1:8" x14ac:dyDescent="0.25">
      <c r="A663" t="s">
        <v>930</v>
      </c>
      <c r="B663" s="1">
        <v>0.76648884259259265</v>
      </c>
      <c r="C663" t="s">
        <v>14</v>
      </c>
      <c r="D663" t="s">
        <v>10</v>
      </c>
      <c r="E663" t="s">
        <v>931</v>
      </c>
      <c r="F663">
        <v>37.72</v>
      </c>
      <c r="G663" t="s">
        <v>12</v>
      </c>
      <c r="H663" s="2">
        <v>45443</v>
      </c>
    </row>
    <row r="664" spans="1:8" x14ac:dyDescent="0.25">
      <c r="A664" t="s">
        <v>932</v>
      </c>
      <c r="B664" s="1">
        <v>0.76739896990740741</v>
      </c>
      <c r="C664" t="s">
        <v>14</v>
      </c>
      <c r="D664" t="s">
        <v>10</v>
      </c>
      <c r="E664" t="s">
        <v>931</v>
      </c>
      <c r="F664">
        <v>37.72</v>
      </c>
      <c r="G664" t="s">
        <v>12</v>
      </c>
      <c r="H664" s="2">
        <v>45443</v>
      </c>
    </row>
    <row r="665" spans="1:8" x14ac:dyDescent="0.25">
      <c r="A665" t="s">
        <v>933</v>
      </c>
      <c r="B665" s="1">
        <v>0.83795331018518515</v>
      </c>
      <c r="C665" t="s">
        <v>14</v>
      </c>
      <c r="D665" t="s">
        <v>10</v>
      </c>
      <c r="E665" t="s">
        <v>707</v>
      </c>
      <c r="F665">
        <v>37.72</v>
      </c>
      <c r="G665" t="s">
        <v>93</v>
      </c>
      <c r="H665" s="2">
        <v>45443</v>
      </c>
    </row>
    <row r="666" spans="1:8" x14ac:dyDescent="0.25">
      <c r="A666" t="s">
        <v>934</v>
      </c>
      <c r="B666" s="1">
        <v>0.85632410879629628</v>
      </c>
      <c r="C666" t="s">
        <v>14</v>
      </c>
      <c r="D666" t="s">
        <v>10</v>
      </c>
      <c r="E666" t="s">
        <v>519</v>
      </c>
      <c r="F666">
        <v>32.82</v>
      </c>
      <c r="G666" t="s">
        <v>25</v>
      </c>
      <c r="H666" s="2">
        <v>45443</v>
      </c>
    </row>
    <row r="667" spans="1:8" x14ac:dyDescent="0.25">
      <c r="A667" t="s">
        <v>935</v>
      </c>
      <c r="B667" s="1">
        <v>0.85732526620370375</v>
      </c>
      <c r="C667" t="s">
        <v>14</v>
      </c>
      <c r="D667" t="s">
        <v>10</v>
      </c>
      <c r="E667" t="s">
        <v>519</v>
      </c>
      <c r="F667">
        <v>37.72</v>
      </c>
      <c r="G667" t="s">
        <v>12</v>
      </c>
      <c r="H667" s="2">
        <v>45443</v>
      </c>
    </row>
    <row r="668" spans="1:8" x14ac:dyDescent="0.25">
      <c r="A668" t="s">
        <v>936</v>
      </c>
      <c r="B668" s="1">
        <v>0.92068368055555561</v>
      </c>
      <c r="C668" t="s">
        <v>14</v>
      </c>
      <c r="D668" t="s">
        <v>10</v>
      </c>
      <c r="E668" t="s">
        <v>802</v>
      </c>
      <c r="F668">
        <v>37.72</v>
      </c>
      <c r="G668" t="s">
        <v>93</v>
      </c>
      <c r="H668" s="2">
        <v>45443</v>
      </c>
    </row>
    <row r="669" spans="1:8" x14ac:dyDescent="0.25">
      <c r="A669" t="s">
        <v>937</v>
      </c>
      <c r="B669" s="1">
        <v>0.92144085648148144</v>
      </c>
      <c r="C669" t="s">
        <v>14</v>
      </c>
      <c r="D669" t="s">
        <v>10</v>
      </c>
      <c r="E669" t="s">
        <v>802</v>
      </c>
      <c r="F669">
        <v>32.82</v>
      </c>
      <c r="G669" t="s">
        <v>25</v>
      </c>
      <c r="H669" s="2">
        <v>45443</v>
      </c>
    </row>
    <row r="670" spans="1:8" x14ac:dyDescent="0.25">
      <c r="A670" t="s">
        <v>938</v>
      </c>
      <c r="B670" s="1">
        <v>0.92216861111111115</v>
      </c>
      <c r="C670" t="s">
        <v>14</v>
      </c>
      <c r="D670" t="s">
        <v>10</v>
      </c>
      <c r="E670" t="s">
        <v>802</v>
      </c>
      <c r="F670">
        <v>27.92</v>
      </c>
      <c r="G670" t="s">
        <v>54</v>
      </c>
      <c r="H670" s="2">
        <v>45443</v>
      </c>
    </row>
    <row r="671" spans="1:8" x14ac:dyDescent="0.25">
      <c r="A671" t="s">
        <v>939</v>
      </c>
      <c r="B671" s="1">
        <v>0.3521035300925926</v>
      </c>
      <c r="C671" t="s">
        <v>9</v>
      </c>
      <c r="D671" t="s">
        <v>10</v>
      </c>
      <c r="E671" t="s">
        <v>547</v>
      </c>
      <c r="F671">
        <v>27.92</v>
      </c>
      <c r="G671" t="s">
        <v>54</v>
      </c>
      <c r="H671" s="2">
        <v>45444</v>
      </c>
    </row>
    <row r="672" spans="1:8" x14ac:dyDescent="0.25">
      <c r="A672" t="s">
        <v>940</v>
      </c>
      <c r="B672" s="1">
        <v>0.40861979166666668</v>
      </c>
      <c r="C672" t="s">
        <v>9</v>
      </c>
      <c r="D672" t="s">
        <v>10</v>
      </c>
      <c r="E672" t="s">
        <v>885</v>
      </c>
      <c r="F672">
        <v>37.72</v>
      </c>
      <c r="G672" t="s">
        <v>12</v>
      </c>
      <c r="H672" s="2">
        <v>45444</v>
      </c>
    </row>
    <row r="673" spans="1:8" x14ac:dyDescent="0.25">
      <c r="A673" t="s">
        <v>941</v>
      </c>
      <c r="B673" s="1">
        <v>0.48483068287037034</v>
      </c>
      <c r="C673" t="s">
        <v>9</v>
      </c>
      <c r="D673" t="s">
        <v>10</v>
      </c>
      <c r="E673" t="s">
        <v>931</v>
      </c>
      <c r="F673">
        <v>37.72</v>
      </c>
      <c r="G673" t="s">
        <v>12</v>
      </c>
      <c r="H673" s="2">
        <v>45444</v>
      </c>
    </row>
    <row r="674" spans="1:8" x14ac:dyDescent="0.25">
      <c r="A674" t="s">
        <v>942</v>
      </c>
      <c r="B674" s="1">
        <v>0.60339975694444448</v>
      </c>
      <c r="C674" t="s">
        <v>14</v>
      </c>
      <c r="D674" t="s">
        <v>10</v>
      </c>
      <c r="E674" t="s">
        <v>346</v>
      </c>
      <c r="F674">
        <v>32.82</v>
      </c>
      <c r="G674" t="s">
        <v>25</v>
      </c>
      <c r="H674" s="2">
        <v>45444</v>
      </c>
    </row>
    <row r="675" spans="1:8" x14ac:dyDescent="0.25">
      <c r="A675" t="s">
        <v>943</v>
      </c>
      <c r="B675" s="1">
        <v>0.76403680555555553</v>
      </c>
      <c r="C675" t="s">
        <v>14</v>
      </c>
      <c r="D675" t="s">
        <v>10</v>
      </c>
      <c r="E675" t="s">
        <v>944</v>
      </c>
      <c r="F675">
        <v>32.82</v>
      </c>
      <c r="G675" t="s">
        <v>25</v>
      </c>
      <c r="H675" s="2">
        <v>45444</v>
      </c>
    </row>
    <row r="676" spans="1:8" x14ac:dyDescent="0.25">
      <c r="A676" t="s">
        <v>945</v>
      </c>
      <c r="B676" s="1">
        <v>0.76476114583333332</v>
      </c>
      <c r="C676" t="s">
        <v>14</v>
      </c>
      <c r="D676" t="s">
        <v>10</v>
      </c>
      <c r="E676" t="s">
        <v>944</v>
      </c>
      <c r="F676">
        <v>32.82</v>
      </c>
      <c r="G676" t="s">
        <v>25</v>
      </c>
      <c r="H676" s="2">
        <v>45444</v>
      </c>
    </row>
    <row r="677" spans="1:8" x14ac:dyDescent="0.25">
      <c r="A677" t="s">
        <v>946</v>
      </c>
      <c r="B677" s="1">
        <v>0.86817694444444449</v>
      </c>
      <c r="C677" t="s">
        <v>14</v>
      </c>
      <c r="D677" t="s">
        <v>10</v>
      </c>
      <c r="E677" t="s">
        <v>604</v>
      </c>
      <c r="F677">
        <v>37.72</v>
      </c>
      <c r="G677" t="s">
        <v>93</v>
      </c>
      <c r="H677" s="2">
        <v>45444</v>
      </c>
    </row>
    <row r="678" spans="1:8" x14ac:dyDescent="0.25">
      <c r="A678" t="s">
        <v>947</v>
      </c>
      <c r="B678" s="1">
        <v>0.86890700231481477</v>
      </c>
      <c r="C678" t="s">
        <v>14</v>
      </c>
      <c r="D678" t="s">
        <v>10</v>
      </c>
      <c r="E678" t="s">
        <v>604</v>
      </c>
      <c r="F678">
        <v>37.72</v>
      </c>
      <c r="G678" t="s">
        <v>93</v>
      </c>
      <c r="H678" s="2">
        <v>45444</v>
      </c>
    </row>
    <row r="679" spans="1:8" x14ac:dyDescent="0.25">
      <c r="A679" t="s">
        <v>948</v>
      </c>
      <c r="B679" s="1">
        <v>0.87151929398148154</v>
      </c>
      <c r="C679" t="s">
        <v>14</v>
      </c>
      <c r="D679" t="s">
        <v>39</v>
      </c>
      <c r="E679" t="s">
        <v>39</v>
      </c>
      <c r="F679">
        <v>39</v>
      </c>
      <c r="G679" t="s">
        <v>32</v>
      </c>
      <c r="H679" s="2">
        <v>45444</v>
      </c>
    </row>
    <row r="680" spans="1:8" x14ac:dyDescent="0.25">
      <c r="A680" t="s">
        <v>949</v>
      </c>
      <c r="B680" s="1">
        <v>0.87441769675925929</v>
      </c>
      <c r="C680" t="s">
        <v>14</v>
      </c>
      <c r="D680" t="s">
        <v>10</v>
      </c>
      <c r="E680" t="s">
        <v>950</v>
      </c>
      <c r="F680">
        <v>37.72</v>
      </c>
      <c r="G680" t="s">
        <v>32</v>
      </c>
      <c r="H680" s="2">
        <v>45444</v>
      </c>
    </row>
    <row r="681" spans="1:8" x14ac:dyDescent="0.25">
      <c r="A681" t="s">
        <v>951</v>
      </c>
      <c r="B681" s="1">
        <v>0.9104742013888889</v>
      </c>
      <c r="C681" t="s">
        <v>14</v>
      </c>
      <c r="D681" t="s">
        <v>10</v>
      </c>
      <c r="E681" t="s">
        <v>35</v>
      </c>
      <c r="F681">
        <v>32.82</v>
      </c>
      <c r="G681" t="s">
        <v>25</v>
      </c>
      <c r="H681" s="2">
        <v>45444</v>
      </c>
    </row>
    <row r="682" spans="1:8" x14ac:dyDescent="0.25">
      <c r="A682" t="s">
        <v>952</v>
      </c>
      <c r="B682" s="1">
        <v>0.83571526620370373</v>
      </c>
      <c r="C682" t="s">
        <v>14</v>
      </c>
      <c r="D682" t="s">
        <v>10</v>
      </c>
      <c r="E682" t="s">
        <v>35</v>
      </c>
      <c r="F682">
        <v>37.72</v>
      </c>
      <c r="G682" t="s">
        <v>12</v>
      </c>
      <c r="H682" s="2">
        <v>45445</v>
      </c>
    </row>
    <row r="683" spans="1:8" x14ac:dyDescent="0.25">
      <c r="A683" t="s">
        <v>953</v>
      </c>
      <c r="B683" s="1">
        <v>0.85002834490740742</v>
      </c>
      <c r="C683" t="s">
        <v>14</v>
      </c>
      <c r="D683" t="s">
        <v>10</v>
      </c>
      <c r="E683" t="s">
        <v>124</v>
      </c>
      <c r="F683">
        <v>32.82</v>
      </c>
      <c r="G683" t="s">
        <v>25</v>
      </c>
      <c r="H683" s="2">
        <v>45445</v>
      </c>
    </row>
    <row r="684" spans="1:8" x14ac:dyDescent="0.25">
      <c r="A684" t="s">
        <v>954</v>
      </c>
      <c r="B684" s="1">
        <v>0.85077821759259264</v>
      </c>
      <c r="C684" t="s">
        <v>14</v>
      </c>
      <c r="D684" t="s">
        <v>10</v>
      </c>
      <c r="E684" t="s">
        <v>124</v>
      </c>
      <c r="F684">
        <v>37.72</v>
      </c>
      <c r="G684" t="s">
        <v>93</v>
      </c>
      <c r="H684" s="2">
        <v>45445</v>
      </c>
    </row>
    <row r="685" spans="1:8" x14ac:dyDescent="0.25">
      <c r="A685" t="s">
        <v>955</v>
      </c>
      <c r="B685" s="1">
        <v>0.8800987384259259</v>
      </c>
      <c r="C685" t="s">
        <v>14</v>
      </c>
      <c r="D685" t="s">
        <v>10</v>
      </c>
      <c r="E685" t="s">
        <v>346</v>
      </c>
      <c r="F685">
        <v>32.82</v>
      </c>
      <c r="G685" t="s">
        <v>25</v>
      </c>
      <c r="H685" s="2">
        <v>45445</v>
      </c>
    </row>
    <row r="686" spans="1:8" x14ac:dyDescent="0.25">
      <c r="A686" t="s">
        <v>956</v>
      </c>
      <c r="B686" s="1">
        <v>0.89597719907407403</v>
      </c>
      <c r="C686" t="s">
        <v>14</v>
      </c>
      <c r="D686" t="s">
        <v>10</v>
      </c>
      <c r="E686" t="s">
        <v>957</v>
      </c>
      <c r="F686">
        <v>37.72</v>
      </c>
      <c r="G686" t="s">
        <v>12</v>
      </c>
      <c r="H686" s="2">
        <v>45445</v>
      </c>
    </row>
    <row r="687" spans="1:8" x14ac:dyDescent="0.25">
      <c r="A687" t="s">
        <v>958</v>
      </c>
      <c r="B687" s="1">
        <v>0.94665087962962968</v>
      </c>
      <c r="C687" t="s">
        <v>14</v>
      </c>
      <c r="D687" t="s">
        <v>39</v>
      </c>
      <c r="E687" t="s">
        <v>39</v>
      </c>
      <c r="F687">
        <v>34</v>
      </c>
      <c r="G687" t="s">
        <v>25</v>
      </c>
      <c r="H687" s="2">
        <v>45445</v>
      </c>
    </row>
    <row r="688" spans="1:8" x14ac:dyDescent="0.25">
      <c r="A688" t="s">
        <v>959</v>
      </c>
      <c r="B688" s="1">
        <v>0.42504792824074072</v>
      </c>
      <c r="C688" t="s">
        <v>9</v>
      </c>
      <c r="D688" t="s">
        <v>10</v>
      </c>
      <c r="E688" t="s">
        <v>11</v>
      </c>
      <c r="F688">
        <v>37.72</v>
      </c>
      <c r="G688" t="s">
        <v>12</v>
      </c>
      <c r="H688" s="2">
        <v>45446</v>
      </c>
    </row>
    <row r="689" spans="1:8" x14ac:dyDescent="0.25">
      <c r="A689" t="s">
        <v>960</v>
      </c>
      <c r="B689" s="1">
        <v>0.43599302083333336</v>
      </c>
      <c r="C689" t="s">
        <v>9</v>
      </c>
      <c r="D689" t="s">
        <v>10</v>
      </c>
      <c r="E689" t="s">
        <v>740</v>
      </c>
      <c r="F689">
        <v>37.72</v>
      </c>
      <c r="G689" t="s">
        <v>12</v>
      </c>
      <c r="H689" s="2">
        <v>45446</v>
      </c>
    </row>
    <row r="690" spans="1:8" x14ac:dyDescent="0.25">
      <c r="A690" t="s">
        <v>961</v>
      </c>
      <c r="B690" s="1">
        <v>0.60535113425925924</v>
      </c>
      <c r="C690" t="s">
        <v>14</v>
      </c>
      <c r="D690" t="s">
        <v>10</v>
      </c>
      <c r="E690" t="s">
        <v>79</v>
      </c>
      <c r="F690">
        <v>37.72</v>
      </c>
      <c r="G690" t="s">
        <v>93</v>
      </c>
      <c r="H690" s="2">
        <v>45446</v>
      </c>
    </row>
    <row r="691" spans="1:8" x14ac:dyDescent="0.25">
      <c r="A691" t="s">
        <v>962</v>
      </c>
      <c r="B691" s="1">
        <v>0.60626101851851855</v>
      </c>
      <c r="C691" t="s">
        <v>14</v>
      </c>
      <c r="D691" t="s">
        <v>10</v>
      </c>
      <c r="E691" t="s">
        <v>77</v>
      </c>
      <c r="F691">
        <v>32.82</v>
      </c>
      <c r="G691" t="s">
        <v>25</v>
      </c>
      <c r="H691" s="2">
        <v>45446</v>
      </c>
    </row>
    <row r="692" spans="1:8" x14ac:dyDescent="0.25">
      <c r="A692" t="s">
        <v>963</v>
      </c>
      <c r="B692" s="1">
        <v>0.60702456018518514</v>
      </c>
      <c r="C692" t="s">
        <v>14</v>
      </c>
      <c r="D692" t="s">
        <v>10</v>
      </c>
      <c r="E692" t="s">
        <v>35</v>
      </c>
      <c r="F692">
        <v>37.72</v>
      </c>
      <c r="G692" t="s">
        <v>12</v>
      </c>
      <c r="H692" s="2">
        <v>45446</v>
      </c>
    </row>
    <row r="693" spans="1:8" x14ac:dyDescent="0.25">
      <c r="A693" t="s">
        <v>964</v>
      </c>
      <c r="B693" s="1">
        <v>0.90476543981481483</v>
      </c>
      <c r="C693" t="s">
        <v>14</v>
      </c>
      <c r="D693" t="s">
        <v>39</v>
      </c>
      <c r="E693" t="s">
        <v>39</v>
      </c>
      <c r="F693">
        <v>34</v>
      </c>
      <c r="G693" t="s">
        <v>25</v>
      </c>
      <c r="H693" s="2">
        <v>45446</v>
      </c>
    </row>
    <row r="694" spans="1:8" x14ac:dyDescent="0.25">
      <c r="A694" t="s">
        <v>965</v>
      </c>
      <c r="B694" s="1">
        <v>0.90529480324074074</v>
      </c>
      <c r="C694" t="s">
        <v>14</v>
      </c>
      <c r="D694" t="s">
        <v>39</v>
      </c>
      <c r="E694" t="s">
        <v>39</v>
      </c>
      <c r="F694">
        <v>34</v>
      </c>
      <c r="G694" t="s">
        <v>25</v>
      </c>
      <c r="H694" s="2">
        <v>45446</v>
      </c>
    </row>
    <row r="695" spans="1:8" x14ac:dyDescent="0.25">
      <c r="A695" t="s">
        <v>966</v>
      </c>
      <c r="B695" s="1">
        <v>0.39146872685185186</v>
      </c>
      <c r="C695" t="s">
        <v>9</v>
      </c>
      <c r="D695" t="s">
        <v>10</v>
      </c>
      <c r="E695" t="s">
        <v>547</v>
      </c>
      <c r="F695">
        <v>27.92</v>
      </c>
      <c r="G695" t="s">
        <v>54</v>
      </c>
      <c r="H695" s="2">
        <v>45447</v>
      </c>
    </row>
    <row r="696" spans="1:8" x14ac:dyDescent="0.25">
      <c r="A696" t="s">
        <v>967</v>
      </c>
      <c r="B696" s="1">
        <v>0.43557841435185185</v>
      </c>
      <c r="C696" t="s">
        <v>9</v>
      </c>
      <c r="D696" t="s">
        <v>10</v>
      </c>
      <c r="E696" t="s">
        <v>346</v>
      </c>
      <c r="F696">
        <v>32.82</v>
      </c>
      <c r="G696" t="s">
        <v>25</v>
      </c>
      <c r="H696" s="2">
        <v>45447</v>
      </c>
    </row>
    <row r="697" spans="1:8" x14ac:dyDescent="0.25">
      <c r="A697" t="s">
        <v>968</v>
      </c>
      <c r="B697" s="1">
        <v>0.50150709490740741</v>
      </c>
      <c r="C697" t="s">
        <v>14</v>
      </c>
      <c r="D697" t="s">
        <v>10</v>
      </c>
      <c r="E697" t="s">
        <v>969</v>
      </c>
      <c r="F697">
        <v>37.72</v>
      </c>
      <c r="G697" t="s">
        <v>12</v>
      </c>
      <c r="H697" s="2">
        <v>45447</v>
      </c>
    </row>
    <row r="698" spans="1:8" x14ac:dyDescent="0.25">
      <c r="A698" t="s">
        <v>970</v>
      </c>
      <c r="B698" s="1">
        <v>0.50381002314814816</v>
      </c>
      <c r="C698" t="s">
        <v>14</v>
      </c>
      <c r="D698" t="s">
        <v>10</v>
      </c>
      <c r="E698" t="s">
        <v>969</v>
      </c>
      <c r="F698">
        <v>37.72</v>
      </c>
      <c r="G698" t="s">
        <v>16</v>
      </c>
      <c r="H698" s="2">
        <v>45447</v>
      </c>
    </row>
    <row r="699" spans="1:8" x14ac:dyDescent="0.25">
      <c r="A699" t="s">
        <v>971</v>
      </c>
      <c r="B699" s="1">
        <v>0.64620896990740739</v>
      </c>
      <c r="C699" t="s">
        <v>14</v>
      </c>
      <c r="D699" t="s">
        <v>10</v>
      </c>
      <c r="E699" t="s">
        <v>972</v>
      </c>
      <c r="F699">
        <v>37.72</v>
      </c>
      <c r="G699" t="s">
        <v>12</v>
      </c>
      <c r="H699" s="2">
        <v>45447</v>
      </c>
    </row>
    <row r="700" spans="1:8" x14ac:dyDescent="0.25">
      <c r="A700" t="s">
        <v>973</v>
      </c>
      <c r="B700" s="1">
        <v>0.74070209490740746</v>
      </c>
      <c r="C700" t="s">
        <v>14</v>
      </c>
      <c r="D700" t="s">
        <v>10</v>
      </c>
      <c r="E700" t="s">
        <v>747</v>
      </c>
      <c r="F700">
        <v>27.92</v>
      </c>
      <c r="G700" t="s">
        <v>54</v>
      </c>
      <c r="H700" s="2">
        <v>45447</v>
      </c>
    </row>
    <row r="701" spans="1:8" x14ac:dyDescent="0.25">
      <c r="A701" t="s">
        <v>974</v>
      </c>
      <c r="B701" s="1">
        <v>0.74130609953703708</v>
      </c>
      <c r="C701" t="s">
        <v>14</v>
      </c>
      <c r="D701" t="s">
        <v>10</v>
      </c>
      <c r="E701" t="s">
        <v>747</v>
      </c>
      <c r="F701">
        <v>37.72</v>
      </c>
      <c r="G701" t="s">
        <v>93</v>
      </c>
      <c r="H701" s="2">
        <v>45447</v>
      </c>
    </row>
    <row r="702" spans="1:8" x14ac:dyDescent="0.25">
      <c r="A702" t="s">
        <v>975</v>
      </c>
      <c r="B702" s="1">
        <v>0.84237504629629634</v>
      </c>
      <c r="C702" t="s">
        <v>14</v>
      </c>
      <c r="D702" t="s">
        <v>10</v>
      </c>
      <c r="E702" t="s">
        <v>976</v>
      </c>
      <c r="F702">
        <v>37.72</v>
      </c>
      <c r="G702" t="s">
        <v>16</v>
      </c>
      <c r="H702" s="2">
        <v>45447</v>
      </c>
    </row>
    <row r="703" spans="1:8" x14ac:dyDescent="0.25">
      <c r="A703" t="s">
        <v>977</v>
      </c>
      <c r="B703" s="1">
        <v>0.86844787037037041</v>
      </c>
      <c r="C703" t="s">
        <v>14</v>
      </c>
      <c r="D703" t="s">
        <v>10</v>
      </c>
      <c r="E703" t="s">
        <v>978</v>
      </c>
      <c r="F703">
        <v>37.72</v>
      </c>
      <c r="G703" t="s">
        <v>93</v>
      </c>
      <c r="H703" s="2">
        <v>45447</v>
      </c>
    </row>
    <row r="704" spans="1:8" x14ac:dyDescent="0.25">
      <c r="A704" t="s">
        <v>979</v>
      </c>
      <c r="B704" s="1">
        <v>0.89720958333333334</v>
      </c>
      <c r="C704" t="s">
        <v>14</v>
      </c>
      <c r="D704" t="s">
        <v>10</v>
      </c>
      <c r="E704" t="s">
        <v>980</v>
      </c>
      <c r="F704">
        <v>27.92</v>
      </c>
      <c r="G704" t="s">
        <v>54</v>
      </c>
      <c r="H704" s="2">
        <v>45447</v>
      </c>
    </row>
    <row r="705" spans="1:8" x14ac:dyDescent="0.25">
      <c r="A705" t="s">
        <v>981</v>
      </c>
      <c r="B705" s="1">
        <v>0.89794700231481483</v>
      </c>
      <c r="C705" t="s">
        <v>14</v>
      </c>
      <c r="D705" t="s">
        <v>10</v>
      </c>
      <c r="E705" t="s">
        <v>982</v>
      </c>
      <c r="F705">
        <v>32.82</v>
      </c>
      <c r="G705" t="s">
        <v>25</v>
      </c>
      <c r="H705" s="2">
        <v>45447</v>
      </c>
    </row>
    <row r="706" spans="1:8" x14ac:dyDescent="0.25">
      <c r="A706" t="s">
        <v>983</v>
      </c>
      <c r="B706" s="1">
        <v>0.89925540509259261</v>
      </c>
      <c r="C706" t="s">
        <v>14</v>
      </c>
      <c r="D706" t="s">
        <v>10</v>
      </c>
      <c r="E706" t="s">
        <v>984</v>
      </c>
      <c r="F706">
        <v>32.82</v>
      </c>
      <c r="G706" t="s">
        <v>25</v>
      </c>
      <c r="H706" s="2">
        <v>45447</v>
      </c>
    </row>
    <row r="707" spans="1:8" x14ac:dyDescent="0.25">
      <c r="A707" t="s">
        <v>985</v>
      </c>
      <c r="B707" s="1">
        <v>0.90008013888888894</v>
      </c>
      <c r="C707" t="s">
        <v>14</v>
      </c>
      <c r="D707" t="s">
        <v>10</v>
      </c>
      <c r="E707" t="s">
        <v>984</v>
      </c>
      <c r="F707">
        <v>32.82</v>
      </c>
      <c r="G707" t="s">
        <v>25</v>
      </c>
      <c r="H707" s="2">
        <v>45447</v>
      </c>
    </row>
    <row r="708" spans="1:8" x14ac:dyDescent="0.25">
      <c r="A708" t="s">
        <v>986</v>
      </c>
      <c r="B708" s="1">
        <v>0.90086995370370371</v>
      </c>
      <c r="C708" t="s">
        <v>14</v>
      </c>
      <c r="D708" t="s">
        <v>10</v>
      </c>
      <c r="E708" t="s">
        <v>984</v>
      </c>
      <c r="F708">
        <v>32.82</v>
      </c>
      <c r="G708" t="s">
        <v>25</v>
      </c>
      <c r="H708" s="2">
        <v>45447</v>
      </c>
    </row>
    <row r="709" spans="1:8" x14ac:dyDescent="0.25">
      <c r="A709" t="s">
        <v>987</v>
      </c>
      <c r="B709" s="1">
        <v>0.34848337962962961</v>
      </c>
      <c r="C709" t="s">
        <v>9</v>
      </c>
      <c r="D709" t="s">
        <v>10</v>
      </c>
      <c r="E709" t="s">
        <v>988</v>
      </c>
      <c r="F709">
        <v>37.72</v>
      </c>
      <c r="G709" t="s">
        <v>93</v>
      </c>
      <c r="H709" s="2">
        <v>45448</v>
      </c>
    </row>
    <row r="710" spans="1:8" x14ac:dyDescent="0.25">
      <c r="A710" t="s">
        <v>989</v>
      </c>
      <c r="B710" s="1">
        <v>0.34938336805555553</v>
      </c>
      <c r="C710" t="s">
        <v>9</v>
      </c>
      <c r="D710" t="s">
        <v>10</v>
      </c>
      <c r="E710" t="s">
        <v>988</v>
      </c>
      <c r="F710">
        <v>37.72</v>
      </c>
      <c r="G710" t="s">
        <v>93</v>
      </c>
      <c r="H710" s="2">
        <v>45448</v>
      </c>
    </row>
    <row r="711" spans="1:8" x14ac:dyDescent="0.25">
      <c r="A711" t="s">
        <v>990</v>
      </c>
      <c r="B711" s="1">
        <v>0.39077671296296296</v>
      </c>
      <c r="C711" t="s">
        <v>9</v>
      </c>
      <c r="D711" t="s">
        <v>10</v>
      </c>
      <c r="E711" t="s">
        <v>991</v>
      </c>
      <c r="F711">
        <v>27.92</v>
      </c>
      <c r="G711" t="s">
        <v>20</v>
      </c>
      <c r="H711" s="2">
        <v>45448</v>
      </c>
    </row>
    <row r="712" spans="1:8" x14ac:dyDescent="0.25">
      <c r="A712" t="s">
        <v>992</v>
      </c>
      <c r="B712" s="1">
        <v>0.43669699074074075</v>
      </c>
      <c r="C712" t="s">
        <v>9</v>
      </c>
      <c r="D712" t="s">
        <v>10</v>
      </c>
      <c r="E712" t="s">
        <v>11</v>
      </c>
      <c r="F712">
        <v>37.72</v>
      </c>
      <c r="G712" t="s">
        <v>12</v>
      </c>
      <c r="H712" s="2">
        <v>45448</v>
      </c>
    </row>
    <row r="713" spans="1:8" x14ac:dyDescent="0.25">
      <c r="A713" t="s">
        <v>993</v>
      </c>
      <c r="B713" s="1">
        <v>0.44506004629629631</v>
      </c>
      <c r="C713" t="s">
        <v>9</v>
      </c>
      <c r="D713" t="s">
        <v>10</v>
      </c>
      <c r="E713" t="s">
        <v>346</v>
      </c>
      <c r="F713">
        <v>32.82</v>
      </c>
      <c r="G713" t="s">
        <v>25</v>
      </c>
      <c r="H713" s="2">
        <v>45448</v>
      </c>
    </row>
    <row r="714" spans="1:8" x14ac:dyDescent="0.25">
      <c r="A714" t="s">
        <v>994</v>
      </c>
      <c r="B714" s="1">
        <v>0.8221953125</v>
      </c>
      <c r="C714" t="s">
        <v>14</v>
      </c>
      <c r="D714" t="s">
        <v>10</v>
      </c>
      <c r="E714" t="s">
        <v>995</v>
      </c>
      <c r="F714">
        <v>32.82</v>
      </c>
      <c r="G714" t="s">
        <v>25</v>
      </c>
      <c r="H714" s="2">
        <v>45448</v>
      </c>
    </row>
    <row r="715" spans="1:8" x14ac:dyDescent="0.25">
      <c r="A715" t="s">
        <v>996</v>
      </c>
      <c r="B715" s="1">
        <v>0.83325841435185188</v>
      </c>
      <c r="C715" t="s">
        <v>14</v>
      </c>
      <c r="D715" t="s">
        <v>10</v>
      </c>
      <c r="E715" t="s">
        <v>997</v>
      </c>
      <c r="F715">
        <v>37.72</v>
      </c>
      <c r="G715" t="s">
        <v>12</v>
      </c>
      <c r="H715" s="2">
        <v>45448</v>
      </c>
    </row>
    <row r="716" spans="1:8" x14ac:dyDescent="0.25">
      <c r="A716" t="s">
        <v>998</v>
      </c>
      <c r="B716" s="1">
        <v>0.84082896990740741</v>
      </c>
      <c r="C716" t="s">
        <v>14</v>
      </c>
      <c r="D716" t="s">
        <v>10</v>
      </c>
      <c r="E716" t="s">
        <v>845</v>
      </c>
      <c r="F716">
        <v>37.72</v>
      </c>
      <c r="G716" t="s">
        <v>32</v>
      </c>
      <c r="H716" s="2">
        <v>45448</v>
      </c>
    </row>
    <row r="717" spans="1:8" x14ac:dyDescent="0.25">
      <c r="A717" t="s">
        <v>999</v>
      </c>
      <c r="B717" s="1">
        <v>0.84168585648148153</v>
      </c>
      <c r="C717" t="s">
        <v>14</v>
      </c>
      <c r="D717" t="s">
        <v>10</v>
      </c>
      <c r="E717" t="s">
        <v>845</v>
      </c>
      <c r="F717">
        <v>27.92</v>
      </c>
      <c r="G717" t="s">
        <v>54</v>
      </c>
      <c r="H717" s="2">
        <v>45448</v>
      </c>
    </row>
    <row r="718" spans="1:8" x14ac:dyDescent="0.25">
      <c r="A718" t="s">
        <v>1000</v>
      </c>
      <c r="B718" s="1">
        <v>0.3700966550925926</v>
      </c>
      <c r="C718" t="s">
        <v>9</v>
      </c>
      <c r="D718" t="s">
        <v>10</v>
      </c>
      <c r="E718" t="s">
        <v>346</v>
      </c>
      <c r="F718">
        <v>32.82</v>
      </c>
      <c r="G718" t="s">
        <v>25</v>
      </c>
      <c r="H718" s="2">
        <v>45449</v>
      </c>
    </row>
    <row r="719" spans="1:8" x14ac:dyDescent="0.25">
      <c r="A719" t="s">
        <v>1001</v>
      </c>
      <c r="B719" s="1">
        <v>0.37093119212962961</v>
      </c>
      <c r="C719" t="s">
        <v>9</v>
      </c>
      <c r="D719" t="s">
        <v>10</v>
      </c>
      <c r="E719" t="s">
        <v>346</v>
      </c>
      <c r="F719">
        <v>32.82</v>
      </c>
      <c r="G719" t="s">
        <v>25</v>
      </c>
      <c r="H719" s="2">
        <v>45449</v>
      </c>
    </row>
    <row r="720" spans="1:8" x14ac:dyDescent="0.25">
      <c r="A720" t="s">
        <v>1002</v>
      </c>
      <c r="B720" s="1">
        <v>0.44177855324074072</v>
      </c>
      <c r="C720" t="s">
        <v>9</v>
      </c>
      <c r="D720" t="s">
        <v>10</v>
      </c>
      <c r="E720" t="s">
        <v>11</v>
      </c>
      <c r="F720">
        <v>37.72</v>
      </c>
      <c r="G720" t="s">
        <v>12</v>
      </c>
      <c r="H720" s="2">
        <v>45449</v>
      </c>
    </row>
    <row r="721" spans="1:8" x14ac:dyDescent="0.25">
      <c r="A721" t="s">
        <v>1003</v>
      </c>
      <c r="B721" s="1">
        <v>0.51228557870370373</v>
      </c>
      <c r="C721" t="s">
        <v>14</v>
      </c>
      <c r="D721" t="s">
        <v>10</v>
      </c>
      <c r="E721" t="s">
        <v>1004</v>
      </c>
      <c r="F721">
        <v>27.92</v>
      </c>
      <c r="G721" t="s">
        <v>20</v>
      </c>
      <c r="H721" s="2">
        <v>45449</v>
      </c>
    </row>
    <row r="722" spans="1:8" x14ac:dyDescent="0.25">
      <c r="A722" t="s">
        <v>1005</v>
      </c>
      <c r="B722" s="1">
        <v>0.63280306712962964</v>
      </c>
      <c r="C722" t="s">
        <v>14</v>
      </c>
      <c r="D722" t="s">
        <v>10</v>
      </c>
      <c r="E722" t="s">
        <v>856</v>
      </c>
      <c r="F722">
        <v>32.82</v>
      </c>
      <c r="G722" t="s">
        <v>25</v>
      </c>
      <c r="H722" s="2">
        <v>45449</v>
      </c>
    </row>
    <row r="723" spans="1:8" x14ac:dyDescent="0.25">
      <c r="A723" t="s">
        <v>1006</v>
      </c>
      <c r="B723" s="1">
        <v>0.64173866898148146</v>
      </c>
      <c r="C723" t="s">
        <v>14</v>
      </c>
      <c r="D723" t="s">
        <v>10</v>
      </c>
      <c r="E723" t="s">
        <v>1007</v>
      </c>
      <c r="F723">
        <v>37.72</v>
      </c>
      <c r="G723" t="s">
        <v>93</v>
      </c>
      <c r="H723" s="2">
        <v>45449</v>
      </c>
    </row>
    <row r="724" spans="1:8" x14ac:dyDescent="0.25">
      <c r="A724" t="s">
        <v>1008</v>
      </c>
      <c r="B724" s="1">
        <v>0.88478127314814814</v>
      </c>
      <c r="C724" t="s">
        <v>14</v>
      </c>
      <c r="D724" t="s">
        <v>10</v>
      </c>
      <c r="E724" t="s">
        <v>1009</v>
      </c>
      <c r="F724">
        <v>37.72</v>
      </c>
      <c r="G724" t="s">
        <v>12</v>
      </c>
      <c r="H724" s="2">
        <v>45449</v>
      </c>
    </row>
    <row r="725" spans="1:8" x14ac:dyDescent="0.25">
      <c r="A725" t="s">
        <v>1010</v>
      </c>
      <c r="B725" s="1">
        <v>0.88590540509259263</v>
      </c>
      <c r="C725" t="s">
        <v>14</v>
      </c>
      <c r="D725" t="s">
        <v>10</v>
      </c>
      <c r="E725" t="s">
        <v>1009</v>
      </c>
      <c r="F725">
        <v>37.72</v>
      </c>
      <c r="G725" t="s">
        <v>12</v>
      </c>
      <c r="H725" s="2">
        <v>45449</v>
      </c>
    </row>
    <row r="726" spans="1:8" x14ac:dyDescent="0.25">
      <c r="A726" t="s">
        <v>1011</v>
      </c>
      <c r="B726" s="1">
        <v>0.88780917824074079</v>
      </c>
      <c r="C726" t="s">
        <v>14</v>
      </c>
      <c r="D726" t="s">
        <v>10</v>
      </c>
      <c r="E726" t="s">
        <v>802</v>
      </c>
      <c r="F726">
        <v>37.72</v>
      </c>
      <c r="G726" t="s">
        <v>93</v>
      </c>
      <c r="H726" s="2">
        <v>45449</v>
      </c>
    </row>
    <row r="727" spans="1:8" x14ac:dyDescent="0.25">
      <c r="A727" t="s">
        <v>1012</v>
      </c>
      <c r="B727" s="1">
        <v>0.88854671296296295</v>
      </c>
      <c r="C727" t="s">
        <v>14</v>
      </c>
      <c r="D727" t="s">
        <v>10</v>
      </c>
      <c r="E727" t="s">
        <v>802</v>
      </c>
      <c r="F727">
        <v>32.82</v>
      </c>
      <c r="G727" t="s">
        <v>25</v>
      </c>
      <c r="H727" s="2">
        <v>45449</v>
      </c>
    </row>
    <row r="728" spans="1:8" x14ac:dyDescent="0.25">
      <c r="A728" t="s">
        <v>1013</v>
      </c>
      <c r="B728" s="1">
        <v>0.88963472222222217</v>
      </c>
      <c r="C728" t="s">
        <v>14</v>
      </c>
      <c r="D728" t="s">
        <v>10</v>
      </c>
      <c r="E728" t="s">
        <v>1009</v>
      </c>
      <c r="F728">
        <v>37.72</v>
      </c>
      <c r="G728" t="s">
        <v>12</v>
      </c>
      <c r="H728" s="2">
        <v>45449</v>
      </c>
    </row>
    <row r="729" spans="1:8" x14ac:dyDescent="0.25">
      <c r="A729" t="s">
        <v>1014</v>
      </c>
      <c r="B729" s="1">
        <v>0.34588305555555554</v>
      </c>
      <c r="C729" t="s">
        <v>9</v>
      </c>
      <c r="D729" t="s">
        <v>10</v>
      </c>
      <c r="E729" t="s">
        <v>1015</v>
      </c>
      <c r="F729">
        <v>37.72</v>
      </c>
      <c r="G729" t="s">
        <v>93</v>
      </c>
      <c r="H729" s="2">
        <v>45450</v>
      </c>
    </row>
    <row r="730" spans="1:8" x14ac:dyDescent="0.25">
      <c r="A730" t="s">
        <v>1016</v>
      </c>
      <c r="B730" s="1">
        <v>0.44129750000000001</v>
      </c>
      <c r="C730" t="s">
        <v>9</v>
      </c>
      <c r="D730" t="s">
        <v>10</v>
      </c>
      <c r="E730" t="s">
        <v>1017</v>
      </c>
      <c r="F730">
        <v>23.02</v>
      </c>
      <c r="G730" t="s">
        <v>72</v>
      </c>
      <c r="H730" s="2">
        <v>45450</v>
      </c>
    </row>
    <row r="731" spans="1:8" x14ac:dyDescent="0.25">
      <c r="A731" t="s">
        <v>1018</v>
      </c>
      <c r="B731" s="1">
        <v>0.56548954861111111</v>
      </c>
      <c r="C731" t="s">
        <v>14</v>
      </c>
      <c r="D731" t="s">
        <v>10</v>
      </c>
      <c r="E731" t="s">
        <v>646</v>
      </c>
      <c r="F731">
        <v>32.82</v>
      </c>
      <c r="G731" t="s">
        <v>25</v>
      </c>
      <c r="H731" s="2">
        <v>45450</v>
      </c>
    </row>
    <row r="732" spans="1:8" x14ac:dyDescent="0.25">
      <c r="A732" t="s">
        <v>1019</v>
      </c>
      <c r="B732" s="1">
        <v>0.6984053009259259</v>
      </c>
      <c r="C732" t="s">
        <v>14</v>
      </c>
      <c r="D732" t="s">
        <v>10</v>
      </c>
      <c r="E732" t="s">
        <v>1020</v>
      </c>
      <c r="F732">
        <v>27.92</v>
      </c>
      <c r="G732" t="s">
        <v>54</v>
      </c>
      <c r="H732" s="2">
        <v>45450</v>
      </c>
    </row>
    <row r="733" spans="1:8" x14ac:dyDescent="0.25">
      <c r="A733" t="s">
        <v>1021</v>
      </c>
      <c r="B733" s="1">
        <v>0.69948473379629628</v>
      </c>
      <c r="C733" t="s">
        <v>14</v>
      </c>
      <c r="D733" t="s">
        <v>10</v>
      </c>
      <c r="E733" t="s">
        <v>1020</v>
      </c>
      <c r="F733">
        <v>27.92</v>
      </c>
      <c r="G733" t="s">
        <v>54</v>
      </c>
      <c r="H733" s="2">
        <v>45450</v>
      </c>
    </row>
    <row r="734" spans="1:8" x14ac:dyDescent="0.25">
      <c r="A734" t="s">
        <v>1022</v>
      </c>
      <c r="B734" s="1">
        <v>0.37800944444444445</v>
      </c>
      <c r="C734" t="s">
        <v>9</v>
      </c>
      <c r="D734" t="s">
        <v>10</v>
      </c>
      <c r="E734" t="s">
        <v>1023</v>
      </c>
      <c r="F734">
        <v>27.92</v>
      </c>
      <c r="G734" t="s">
        <v>54</v>
      </c>
      <c r="H734" s="2">
        <v>45451</v>
      </c>
    </row>
    <row r="735" spans="1:8" x14ac:dyDescent="0.25">
      <c r="A735" t="s">
        <v>1024</v>
      </c>
      <c r="B735" s="1">
        <v>0.39318472222222223</v>
      </c>
      <c r="C735" t="s">
        <v>9</v>
      </c>
      <c r="D735" t="s">
        <v>10</v>
      </c>
      <c r="E735" t="s">
        <v>346</v>
      </c>
      <c r="F735">
        <v>32.82</v>
      </c>
      <c r="G735" t="s">
        <v>25</v>
      </c>
      <c r="H735" s="2">
        <v>45451</v>
      </c>
    </row>
    <row r="736" spans="1:8" x14ac:dyDescent="0.25">
      <c r="A736" t="s">
        <v>1025</v>
      </c>
      <c r="B736" s="1">
        <v>0.85062870370370369</v>
      </c>
      <c r="C736" t="s">
        <v>14</v>
      </c>
      <c r="D736" t="s">
        <v>10</v>
      </c>
      <c r="E736" t="s">
        <v>519</v>
      </c>
      <c r="F736">
        <v>37.72</v>
      </c>
      <c r="G736" t="s">
        <v>93</v>
      </c>
      <c r="H736" s="2">
        <v>45451</v>
      </c>
    </row>
    <row r="737" spans="1:8" x14ac:dyDescent="0.25">
      <c r="A737" t="s">
        <v>1026</v>
      </c>
      <c r="B737" s="1">
        <v>0.85134624999999997</v>
      </c>
      <c r="C737" t="s">
        <v>14</v>
      </c>
      <c r="D737" t="s">
        <v>10</v>
      </c>
      <c r="E737" t="s">
        <v>519</v>
      </c>
      <c r="F737">
        <v>37.72</v>
      </c>
      <c r="G737" t="s">
        <v>93</v>
      </c>
      <c r="H737" s="2">
        <v>45451</v>
      </c>
    </row>
    <row r="738" spans="1:8" x14ac:dyDescent="0.25">
      <c r="A738" t="s">
        <v>1027</v>
      </c>
      <c r="B738" s="1">
        <v>0.34436064814814815</v>
      </c>
      <c r="C738" t="s">
        <v>9</v>
      </c>
      <c r="D738" t="s">
        <v>10</v>
      </c>
      <c r="E738" t="s">
        <v>346</v>
      </c>
      <c r="F738">
        <v>37.72</v>
      </c>
      <c r="G738" t="s">
        <v>12</v>
      </c>
      <c r="H738" s="2">
        <v>45452</v>
      </c>
    </row>
    <row r="739" spans="1:8" x14ac:dyDescent="0.25">
      <c r="A739" t="s">
        <v>1028</v>
      </c>
      <c r="B739" s="1">
        <v>0.43755163194444446</v>
      </c>
      <c r="C739" t="s">
        <v>9</v>
      </c>
      <c r="D739" t="s">
        <v>10</v>
      </c>
      <c r="E739" t="s">
        <v>1029</v>
      </c>
      <c r="F739">
        <v>37.72</v>
      </c>
      <c r="G739" t="s">
        <v>12</v>
      </c>
      <c r="H739" s="2">
        <v>45452</v>
      </c>
    </row>
    <row r="740" spans="1:8" x14ac:dyDescent="0.25">
      <c r="A740" t="s">
        <v>1030</v>
      </c>
      <c r="B740" s="1">
        <v>0.4528448726851852</v>
      </c>
      <c r="C740" t="s">
        <v>9</v>
      </c>
      <c r="D740" t="s">
        <v>10</v>
      </c>
      <c r="E740" t="s">
        <v>1031</v>
      </c>
      <c r="F740">
        <v>37.72</v>
      </c>
      <c r="G740" t="s">
        <v>93</v>
      </c>
      <c r="H740" s="2">
        <v>45452</v>
      </c>
    </row>
    <row r="741" spans="1:8" x14ac:dyDescent="0.25">
      <c r="A741" t="s">
        <v>1032</v>
      </c>
      <c r="B741" s="1">
        <v>0.46158918981481484</v>
      </c>
      <c r="C741" t="s">
        <v>9</v>
      </c>
      <c r="D741" t="s">
        <v>10</v>
      </c>
      <c r="E741" t="s">
        <v>547</v>
      </c>
      <c r="F741">
        <v>27.92</v>
      </c>
      <c r="G741" t="s">
        <v>54</v>
      </c>
      <c r="H741" s="2">
        <v>45452</v>
      </c>
    </row>
    <row r="742" spans="1:8" x14ac:dyDescent="0.25">
      <c r="A742" t="s">
        <v>1033</v>
      </c>
      <c r="B742" s="1">
        <v>0.46328828703703706</v>
      </c>
      <c r="C742" t="s">
        <v>9</v>
      </c>
      <c r="D742" t="s">
        <v>10</v>
      </c>
      <c r="E742" t="s">
        <v>1034</v>
      </c>
      <c r="F742">
        <v>23.02</v>
      </c>
      <c r="G742" t="s">
        <v>72</v>
      </c>
      <c r="H742" s="2">
        <v>45452</v>
      </c>
    </row>
    <row r="743" spans="1:8" x14ac:dyDescent="0.25">
      <c r="A743" t="s">
        <v>1035</v>
      </c>
      <c r="B743" s="1">
        <v>0.49501870370370371</v>
      </c>
      <c r="C743" t="s">
        <v>9</v>
      </c>
      <c r="D743" t="s">
        <v>10</v>
      </c>
      <c r="E743" t="s">
        <v>1036</v>
      </c>
      <c r="F743">
        <v>37.72</v>
      </c>
      <c r="G743" t="s">
        <v>93</v>
      </c>
      <c r="H743" s="2">
        <v>45452</v>
      </c>
    </row>
    <row r="744" spans="1:8" x14ac:dyDescent="0.25">
      <c r="A744" t="s">
        <v>1037</v>
      </c>
      <c r="B744" s="1">
        <v>0.50791249999999999</v>
      </c>
      <c r="C744" t="s">
        <v>14</v>
      </c>
      <c r="D744" t="s">
        <v>10</v>
      </c>
      <c r="E744" t="s">
        <v>1038</v>
      </c>
      <c r="F744">
        <v>32.82</v>
      </c>
      <c r="G744" t="s">
        <v>25</v>
      </c>
      <c r="H744" s="2">
        <v>45452</v>
      </c>
    </row>
    <row r="745" spans="1:8" x14ac:dyDescent="0.25">
      <c r="A745" t="s">
        <v>1039</v>
      </c>
      <c r="B745" s="1">
        <v>0.50912114583333334</v>
      </c>
      <c r="C745" t="s">
        <v>14</v>
      </c>
      <c r="D745" t="s">
        <v>10</v>
      </c>
      <c r="E745" t="s">
        <v>1038</v>
      </c>
      <c r="F745">
        <v>37.72</v>
      </c>
      <c r="G745" t="s">
        <v>12</v>
      </c>
      <c r="H745" s="2">
        <v>45452</v>
      </c>
    </row>
    <row r="746" spans="1:8" x14ac:dyDescent="0.25">
      <c r="A746" t="s">
        <v>1040</v>
      </c>
      <c r="B746" s="1">
        <v>0.50984702546296301</v>
      </c>
      <c r="C746" t="s">
        <v>14</v>
      </c>
      <c r="D746" t="s">
        <v>10</v>
      </c>
      <c r="E746" t="s">
        <v>1038</v>
      </c>
      <c r="F746">
        <v>37.72</v>
      </c>
      <c r="G746" t="s">
        <v>12</v>
      </c>
      <c r="H746" s="2">
        <v>45452</v>
      </c>
    </row>
    <row r="747" spans="1:8" x14ac:dyDescent="0.25">
      <c r="A747" t="s">
        <v>1041</v>
      </c>
      <c r="B747" s="1">
        <v>0.63229967592592595</v>
      </c>
      <c r="C747" t="s">
        <v>14</v>
      </c>
      <c r="D747" t="s">
        <v>10</v>
      </c>
      <c r="E747" t="s">
        <v>1042</v>
      </c>
      <c r="F747">
        <v>27.92</v>
      </c>
      <c r="G747" t="s">
        <v>54</v>
      </c>
      <c r="H747" s="2">
        <v>45452</v>
      </c>
    </row>
    <row r="748" spans="1:8" x14ac:dyDescent="0.25">
      <c r="A748" t="s">
        <v>1043</v>
      </c>
      <c r="B748" s="1">
        <v>0.67879848379629626</v>
      </c>
      <c r="C748" t="s">
        <v>14</v>
      </c>
      <c r="D748" t="s">
        <v>10</v>
      </c>
      <c r="E748" t="s">
        <v>1044</v>
      </c>
      <c r="F748">
        <v>37.72</v>
      </c>
      <c r="G748" t="s">
        <v>93</v>
      </c>
      <c r="H748" s="2">
        <v>45452</v>
      </c>
    </row>
    <row r="749" spans="1:8" x14ac:dyDescent="0.25">
      <c r="A749" t="s">
        <v>1045</v>
      </c>
      <c r="B749" s="1">
        <v>0.80647311342592598</v>
      </c>
      <c r="C749" t="s">
        <v>14</v>
      </c>
      <c r="D749" t="s">
        <v>10</v>
      </c>
      <c r="E749" t="s">
        <v>1046</v>
      </c>
      <c r="F749">
        <v>32.82</v>
      </c>
      <c r="G749" t="s">
        <v>25</v>
      </c>
      <c r="H749" s="2">
        <v>45452</v>
      </c>
    </row>
    <row r="750" spans="1:8" x14ac:dyDescent="0.25">
      <c r="A750" t="s">
        <v>1047</v>
      </c>
      <c r="B750" s="1">
        <v>0.87857458333333338</v>
      </c>
      <c r="C750" t="s">
        <v>14</v>
      </c>
      <c r="D750" t="s">
        <v>10</v>
      </c>
      <c r="E750" t="s">
        <v>1048</v>
      </c>
      <c r="F750">
        <v>27.92</v>
      </c>
      <c r="G750" t="s">
        <v>20</v>
      </c>
      <c r="H750" s="2">
        <v>45452</v>
      </c>
    </row>
    <row r="751" spans="1:8" x14ac:dyDescent="0.25">
      <c r="A751" t="s">
        <v>1049</v>
      </c>
      <c r="B751" s="1">
        <v>0.53321598379629631</v>
      </c>
      <c r="C751" t="s">
        <v>14</v>
      </c>
      <c r="D751" t="s">
        <v>10</v>
      </c>
      <c r="E751" t="s">
        <v>1050</v>
      </c>
      <c r="F751">
        <v>37.72</v>
      </c>
      <c r="G751" t="s">
        <v>93</v>
      </c>
      <c r="H751" s="2">
        <v>45453</v>
      </c>
    </row>
    <row r="752" spans="1:8" x14ac:dyDescent="0.25">
      <c r="A752" t="s">
        <v>1051</v>
      </c>
      <c r="B752" s="1">
        <v>0.53944754629629632</v>
      </c>
      <c r="C752" t="s">
        <v>14</v>
      </c>
      <c r="D752" t="s">
        <v>10</v>
      </c>
      <c r="E752" t="s">
        <v>346</v>
      </c>
      <c r="F752">
        <v>37.72</v>
      </c>
      <c r="G752" t="s">
        <v>12</v>
      </c>
      <c r="H752" s="2">
        <v>45453</v>
      </c>
    </row>
    <row r="753" spans="1:8" x14ac:dyDescent="0.25">
      <c r="A753" t="s">
        <v>1052</v>
      </c>
      <c r="B753" s="1">
        <v>0.79476974537037037</v>
      </c>
      <c r="C753" t="s">
        <v>14</v>
      </c>
      <c r="D753" t="s">
        <v>10</v>
      </c>
      <c r="E753" t="s">
        <v>1053</v>
      </c>
      <c r="F753">
        <v>37.72</v>
      </c>
      <c r="G753" t="s">
        <v>16</v>
      </c>
      <c r="H753" s="2">
        <v>45453</v>
      </c>
    </row>
    <row r="754" spans="1:8" x14ac:dyDescent="0.25">
      <c r="A754" t="s">
        <v>1054</v>
      </c>
      <c r="B754" s="1">
        <v>0.7954024305555556</v>
      </c>
      <c r="C754" t="s">
        <v>14</v>
      </c>
      <c r="D754" t="s">
        <v>10</v>
      </c>
      <c r="E754" t="s">
        <v>1053</v>
      </c>
      <c r="F754">
        <v>37.72</v>
      </c>
      <c r="G754" t="s">
        <v>16</v>
      </c>
      <c r="H754" s="2">
        <v>45453</v>
      </c>
    </row>
    <row r="755" spans="1:8" x14ac:dyDescent="0.25">
      <c r="A755" t="s">
        <v>1055</v>
      </c>
      <c r="B755" s="1">
        <v>0.81763428240740743</v>
      </c>
      <c r="C755" t="s">
        <v>14</v>
      </c>
      <c r="D755" t="s">
        <v>10</v>
      </c>
      <c r="E755" t="s">
        <v>1056</v>
      </c>
      <c r="F755">
        <v>37.72</v>
      </c>
      <c r="G755" t="s">
        <v>12</v>
      </c>
      <c r="H755" s="2">
        <v>45453</v>
      </c>
    </row>
    <row r="756" spans="1:8" x14ac:dyDescent="0.25">
      <c r="A756" t="s">
        <v>1057</v>
      </c>
      <c r="B756" s="1">
        <v>0.81828331018518519</v>
      </c>
      <c r="C756" t="s">
        <v>14</v>
      </c>
      <c r="D756" t="s">
        <v>10</v>
      </c>
      <c r="E756" t="s">
        <v>1056</v>
      </c>
      <c r="F756">
        <v>37.72</v>
      </c>
      <c r="G756" t="s">
        <v>12</v>
      </c>
      <c r="H756" s="2">
        <v>45453</v>
      </c>
    </row>
    <row r="757" spans="1:8" x14ac:dyDescent="0.25">
      <c r="A757" t="s">
        <v>1058</v>
      </c>
      <c r="B757" s="1">
        <v>0.44310130787037039</v>
      </c>
      <c r="C757" t="s">
        <v>9</v>
      </c>
      <c r="D757" t="s">
        <v>10</v>
      </c>
      <c r="E757" t="s">
        <v>1059</v>
      </c>
      <c r="F757">
        <v>32.82</v>
      </c>
      <c r="G757" t="s">
        <v>25</v>
      </c>
      <c r="H757" s="2">
        <v>45454</v>
      </c>
    </row>
    <row r="758" spans="1:8" x14ac:dyDescent="0.25">
      <c r="A758" t="s">
        <v>1060</v>
      </c>
      <c r="B758" s="1">
        <v>0.78362606481481478</v>
      </c>
      <c r="C758" t="s">
        <v>14</v>
      </c>
      <c r="D758" t="s">
        <v>10</v>
      </c>
      <c r="E758" t="s">
        <v>1061</v>
      </c>
      <c r="F758">
        <v>37.72</v>
      </c>
      <c r="G758" t="s">
        <v>12</v>
      </c>
      <c r="H758" s="2">
        <v>45454</v>
      </c>
    </row>
    <row r="759" spans="1:8" x14ac:dyDescent="0.25">
      <c r="A759" t="s">
        <v>1062</v>
      </c>
      <c r="B759" s="1">
        <v>0.78444939814814818</v>
      </c>
      <c r="C759" t="s">
        <v>14</v>
      </c>
      <c r="D759" t="s">
        <v>10</v>
      </c>
      <c r="E759" t="s">
        <v>1061</v>
      </c>
      <c r="F759">
        <v>37.72</v>
      </c>
      <c r="G759" t="s">
        <v>12</v>
      </c>
      <c r="H759" s="2">
        <v>45454</v>
      </c>
    </row>
    <row r="760" spans="1:8" x14ac:dyDescent="0.25">
      <c r="A760" t="s">
        <v>1063</v>
      </c>
      <c r="B760" s="1">
        <v>0.88684425925925925</v>
      </c>
      <c r="C760" t="s">
        <v>14</v>
      </c>
      <c r="D760" t="s">
        <v>10</v>
      </c>
      <c r="E760" t="s">
        <v>1064</v>
      </c>
      <c r="F760">
        <v>37.72</v>
      </c>
      <c r="G760" t="s">
        <v>16</v>
      </c>
      <c r="H760" s="2">
        <v>45454</v>
      </c>
    </row>
    <row r="761" spans="1:8" x14ac:dyDescent="0.25">
      <c r="A761" t="s">
        <v>1065</v>
      </c>
      <c r="B761" s="1">
        <v>0.89423495370370365</v>
      </c>
      <c r="C761" t="s">
        <v>14</v>
      </c>
      <c r="D761" t="s">
        <v>10</v>
      </c>
      <c r="E761" t="s">
        <v>1066</v>
      </c>
      <c r="F761">
        <v>32.82</v>
      </c>
      <c r="G761" t="s">
        <v>25</v>
      </c>
      <c r="H761" s="2">
        <v>45454</v>
      </c>
    </row>
    <row r="762" spans="1:8" x14ac:dyDescent="0.25">
      <c r="A762" t="s">
        <v>1067</v>
      </c>
      <c r="B762" s="1">
        <v>0.89502569444444446</v>
      </c>
      <c r="C762" t="s">
        <v>14</v>
      </c>
      <c r="D762" t="s">
        <v>10</v>
      </c>
      <c r="E762" t="s">
        <v>1066</v>
      </c>
      <c r="F762">
        <v>32.82</v>
      </c>
      <c r="G762" t="s">
        <v>25</v>
      </c>
      <c r="H762" s="2">
        <v>45454</v>
      </c>
    </row>
    <row r="763" spans="1:8" x14ac:dyDescent="0.25">
      <c r="A763" t="s">
        <v>1068</v>
      </c>
      <c r="B763" s="1">
        <v>0.42938409722222221</v>
      </c>
      <c r="C763" t="s">
        <v>9</v>
      </c>
      <c r="D763" t="s">
        <v>10</v>
      </c>
      <c r="E763" t="s">
        <v>1069</v>
      </c>
      <c r="F763">
        <v>37.72</v>
      </c>
      <c r="G763" t="s">
        <v>16</v>
      </c>
      <c r="H763" s="2">
        <v>45455</v>
      </c>
    </row>
    <row r="764" spans="1:8" x14ac:dyDescent="0.25">
      <c r="A764" t="s">
        <v>1070</v>
      </c>
      <c r="B764" s="1">
        <v>0.49425761574074073</v>
      </c>
      <c r="C764" t="s">
        <v>9</v>
      </c>
      <c r="D764" t="s">
        <v>10</v>
      </c>
      <c r="E764" t="s">
        <v>1071</v>
      </c>
      <c r="F764">
        <v>37.72</v>
      </c>
      <c r="G764" t="s">
        <v>93</v>
      </c>
      <c r="H764" s="2">
        <v>45455</v>
      </c>
    </row>
    <row r="765" spans="1:8" x14ac:dyDescent="0.25">
      <c r="A765" t="s">
        <v>1072</v>
      </c>
      <c r="B765" s="1">
        <v>0.73700438657407408</v>
      </c>
      <c r="C765" t="s">
        <v>14</v>
      </c>
      <c r="D765" t="s">
        <v>10</v>
      </c>
      <c r="E765" t="s">
        <v>1056</v>
      </c>
      <c r="F765">
        <v>37.72</v>
      </c>
      <c r="G765" t="s">
        <v>12</v>
      </c>
      <c r="H765" s="2">
        <v>45455</v>
      </c>
    </row>
    <row r="766" spans="1:8" x14ac:dyDescent="0.25">
      <c r="A766" t="s">
        <v>1073</v>
      </c>
      <c r="B766" s="1">
        <v>0.74129488425925927</v>
      </c>
      <c r="C766" t="s">
        <v>14</v>
      </c>
      <c r="D766" t="s">
        <v>10</v>
      </c>
      <c r="E766" t="s">
        <v>1074</v>
      </c>
      <c r="F766">
        <v>37.72</v>
      </c>
      <c r="G766" t="s">
        <v>12</v>
      </c>
      <c r="H766" s="2">
        <v>45455</v>
      </c>
    </row>
    <row r="767" spans="1:8" x14ac:dyDescent="0.25">
      <c r="A767" t="s">
        <v>1075</v>
      </c>
      <c r="B767" s="1">
        <v>0.84483388888888888</v>
      </c>
      <c r="C767" t="s">
        <v>14</v>
      </c>
      <c r="D767" t="s">
        <v>10</v>
      </c>
      <c r="E767" t="s">
        <v>976</v>
      </c>
      <c r="F767">
        <v>37.72</v>
      </c>
      <c r="G767" t="s">
        <v>16</v>
      </c>
      <c r="H767" s="2">
        <v>45455</v>
      </c>
    </row>
    <row r="768" spans="1:8" x14ac:dyDescent="0.25">
      <c r="A768" t="s">
        <v>1076</v>
      </c>
      <c r="B768" s="1">
        <v>0.85109072916666662</v>
      </c>
      <c r="C768" t="s">
        <v>14</v>
      </c>
      <c r="D768" t="s">
        <v>10</v>
      </c>
      <c r="E768" t="s">
        <v>1077</v>
      </c>
      <c r="F768">
        <v>32.82</v>
      </c>
      <c r="G768" t="s">
        <v>25</v>
      </c>
      <c r="H768" s="2">
        <v>45455</v>
      </c>
    </row>
    <row r="769" spans="1:8" x14ac:dyDescent="0.25">
      <c r="A769" t="s">
        <v>1078</v>
      </c>
      <c r="B769" s="1">
        <v>0.37111350694444445</v>
      </c>
      <c r="C769" t="s">
        <v>9</v>
      </c>
      <c r="D769" t="s">
        <v>10</v>
      </c>
      <c r="E769" t="s">
        <v>1079</v>
      </c>
      <c r="F769">
        <v>27.92</v>
      </c>
      <c r="G769" t="s">
        <v>20</v>
      </c>
      <c r="H769" s="2">
        <v>45456</v>
      </c>
    </row>
    <row r="770" spans="1:8" x14ac:dyDescent="0.25">
      <c r="A770" t="s">
        <v>1080</v>
      </c>
      <c r="B770" s="1">
        <v>0.37321287037037038</v>
      </c>
      <c r="C770" t="s">
        <v>9</v>
      </c>
      <c r="D770" t="s">
        <v>10</v>
      </c>
      <c r="E770" t="s">
        <v>346</v>
      </c>
      <c r="F770">
        <v>37.72</v>
      </c>
      <c r="G770" t="s">
        <v>12</v>
      </c>
      <c r="H770" s="2">
        <v>45456</v>
      </c>
    </row>
    <row r="771" spans="1:8" x14ac:dyDescent="0.25">
      <c r="A771" t="s">
        <v>1081</v>
      </c>
      <c r="B771" s="1">
        <v>0.41001201388888892</v>
      </c>
      <c r="C771" t="s">
        <v>9</v>
      </c>
      <c r="D771" t="s">
        <v>10</v>
      </c>
      <c r="E771" t="s">
        <v>1082</v>
      </c>
      <c r="F771">
        <v>32.82</v>
      </c>
      <c r="G771" t="s">
        <v>25</v>
      </c>
      <c r="H771" s="2">
        <v>45456</v>
      </c>
    </row>
    <row r="772" spans="1:8" x14ac:dyDescent="0.25">
      <c r="A772" t="s">
        <v>1083</v>
      </c>
      <c r="B772" s="1">
        <v>0.4147166435185185</v>
      </c>
      <c r="C772" t="s">
        <v>9</v>
      </c>
      <c r="D772" t="s">
        <v>10</v>
      </c>
      <c r="E772" t="s">
        <v>547</v>
      </c>
      <c r="F772">
        <v>27.92</v>
      </c>
      <c r="G772" t="s">
        <v>54</v>
      </c>
      <c r="H772" s="2">
        <v>45456</v>
      </c>
    </row>
    <row r="773" spans="1:8" x14ac:dyDescent="0.25">
      <c r="A773" t="s">
        <v>1084</v>
      </c>
      <c r="B773" s="1">
        <v>0.71178936342592591</v>
      </c>
      <c r="C773" t="s">
        <v>14</v>
      </c>
      <c r="D773" t="s">
        <v>10</v>
      </c>
      <c r="E773" t="s">
        <v>1085</v>
      </c>
      <c r="F773">
        <v>32.82</v>
      </c>
      <c r="G773" t="s">
        <v>25</v>
      </c>
      <c r="H773" s="2">
        <v>45456</v>
      </c>
    </row>
    <row r="774" spans="1:8" x14ac:dyDescent="0.25">
      <c r="A774" t="s">
        <v>1086</v>
      </c>
      <c r="B774" s="1">
        <v>0.72762298611111109</v>
      </c>
      <c r="C774" t="s">
        <v>14</v>
      </c>
      <c r="D774" t="s">
        <v>10</v>
      </c>
      <c r="E774" t="s">
        <v>1087</v>
      </c>
      <c r="F774">
        <v>37.72</v>
      </c>
      <c r="G774" t="s">
        <v>16</v>
      </c>
      <c r="H774" s="2">
        <v>45456</v>
      </c>
    </row>
    <row r="775" spans="1:8" x14ac:dyDescent="0.25">
      <c r="A775" t="s">
        <v>1088</v>
      </c>
      <c r="B775" s="1">
        <v>0.80716531250000001</v>
      </c>
      <c r="C775" t="s">
        <v>14</v>
      </c>
      <c r="D775" t="s">
        <v>10</v>
      </c>
      <c r="E775" t="s">
        <v>1089</v>
      </c>
      <c r="F775">
        <v>37.72</v>
      </c>
      <c r="G775" t="s">
        <v>12</v>
      </c>
      <c r="H775" s="2">
        <v>45456</v>
      </c>
    </row>
    <row r="776" spans="1:8" x14ac:dyDescent="0.25">
      <c r="A776" t="s">
        <v>1090</v>
      </c>
      <c r="B776" s="1">
        <v>0.8478213194444445</v>
      </c>
      <c r="C776" t="s">
        <v>14</v>
      </c>
      <c r="D776" t="s">
        <v>10</v>
      </c>
      <c r="E776" t="s">
        <v>43</v>
      </c>
      <c r="F776">
        <v>32.82</v>
      </c>
      <c r="G776" t="s">
        <v>25</v>
      </c>
      <c r="H776" s="2">
        <v>45456</v>
      </c>
    </row>
    <row r="777" spans="1:8" x14ac:dyDescent="0.25">
      <c r="A777" t="s">
        <v>1091</v>
      </c>
      <c r="B777" s="1">
        <v>0.8637267476851852</v>
      </c>
      <c r="C777" t="s">
        <v>14</v>
      </c>
      <c r="D777" t="s">
        <v>10</v>
      </c>
      <c r="E777" t="s">
        <v>43</v>
      </c>
      <c r="F777">
        <v>23.02</v>
      </c>
      <c r="G777" t="s">
        <v>72</v>
      </c>
      <c r="H777" s="2">
        <v>45456</v>
      </c>
    </row>
    <row r="778" spans="1:8" x14ac:dyDescent="0.25">
      <c r="A778" t="s">
        <v>1092</v>
      </c>
      <c r="B778" s="1">
        <v>0.8645904513888889</v>
      </c>
      <c r="C778" t="s">
        <v>14</v>
      </c>
      <c r="D778" t="s">
        <v>10</v>
      </c>
      <c r="E778" t="s">
        <v>1087</v>
      </c>
      <c r="F778">
        <v>23.02</v>
      </c>
      <c r="G778" t="s">
        <v>72</v>
      </c>
      <c r="H778" s="2">
        <v>45456</v>
      </c>
    </row>
    <row r="779" spans="1:8" x14ac:dyDescent="0.25">
      <c r="A779" t="s">
        <v>1093</v>
      </c>
      <c r="B779" s="1">
        <v>0.86687386574074077</v>
      </c>
      <c r="C779" t="s">
        <v>14</v>
      </c>
      <c r="D779" t="s">
        <v>10</v>
      </c>
      <c r="E779" t="s">
        <v>35</v>
      </c>
      <c r="F779">
        <v>32.82</v>
      </c>
      <c r="G779" t="s">
        <v>25</v>
      </c>
      <c r="H779" s="2">
        <v>45456</v>
      </c>
    </row>
    <row r="780" spans="1:8" x14ac:dyDescent="0.25">
      <c r="A780" t="s">
        <v>1094</v>
      </c>
      <c r="B780" s="1">
        <v>0.87671732638888888</v>
      </c>
      <c r="C780" t="s">
        <v>14</v>
      </c>
      <c r="D780" t="s">
        <v>10</v>
      </c>
      <c r="E780" t="s">
        <v>35</v>
      </c>
      <c r="F780">
        <v>32.82</v>
      </c>
      <c r="G780" t="s">
        <v>25</v>
      </c>
      <c r="H780" s="2">
        <v>45456</v>
      </c>
    </row>
    <row r="781" spans="1:8" x14ac:dyDescent="0.25">
      <c r="A781" t="s">
        <v>1095</v>
      </c>
      <c r="B781" s="1">
        <v>0.3237643287037037</v>
      </c>
      <c r="C781" t="s">
        <v>9</v>
      </c>
      <c r="D781" t="s">
        <v>10</v>
      </c>
      <c r="E781" t="s">
        <v>547</v>
      </c>
      <c r="F781">
        <v>27.92</v>
      </c>
      <c r="G781" t="s">
        <v>54</v>
      </c>
      <c r="H781" s="2">
        <v>45457</v>
      </c>
    </row>
    <row r="782" spans="1:8" x14ac:dyDescent="0.25">
      <c r="A782" t="s">
        <v>1096</v>
      </c>
      <c r="B782" s="1">
        <v>0.43786555555555556</v>
      </c>
      <c r="C782" t="s">
        <v>9</v>
      </c>
      <c r="D782" t="s">
        <v>10</v>
      </c>
      <c r="E782" t="s">
        <v>1097</v>
      </c>
      <c r="F782">
        <v>27.92</v>
      </c>
      <c r="G782" t="s">
        <v>20</v>
      </c>
      <c r="H782" s="2">
        <v>45457</v>
      </c>
    </row>
    <row r="783" spans="1:8" x14ac:dyDescent="0.25">
      <c r="A783" t="s">
        <v>1098</v>
      </c>
      <c r="B783" s="1">
        <v>0.51020481481481483</v>
      </c>
      <c r="C783" t="s">
        <v>14</v>
      </c>
      <c r="D783" t="s">
        <v>10</v>
      </c>
      <c r="E783" t="s">
        <v>346</v>
      </c>
      <c r="F783">
        <v>37.72</v>
      </c>
      <c r="G783" t="s">
        <v>12</v>
      </c>
      <c r="H783" s="2">
        <v>45457</v>
      </c>
    </row>
    <row r="784" spans="1:8" x14ac:dyDescent="0.25">
      <c r="A784" t="s">
        <v>1099</v>
      </c>
      <c r="B784" s="1">
        <v>0.77075693287037039</v>
      </c>
      <c r="C784" t="s">
        <v>14</v>
      </c>
      <c r="D784" t="s">
        <v>10</v>
      </c>
      <c r="E784" t="s">
        <v>1100</v>
      </c>
      <c r="F784">
        <v>32.82</v>
      </c>
      <c r="G784" t="s">
        <v>25</v>
      </c>
      <c r="H784" s="2">
        <v>45457</v>
      </c>
    </row>
    <row r="785" spans="1:8" x14ac:dyDescent="0.25">
      <c r="A785" t="s">
        <v>1101</v>
      </c>
      <c r="B785" s="1">
        <v>0.47641173611111109</v>
      </c>
      <c r="C785" t="s">
        <v>9</v>
      </c>
      <c r="D785" t="s">
        <v>10</v>
      </c>
      <c r="E785" t="s">
        <v>1102</v>
      </c>
      <c r="F785">
        <v>37.72</v>
      </c>
      <c r="G785" t="s">
        <v>93</v>
      </c>
      <c r="H785" s="2">
        <v>45458</v>
      </c>
    </row>
    <row r="786" spans="1:8" x14ac:dyDescent="0.25">
      <c r="A786" t="s">
        <v>1103</v>
      </c>
      <c r="B786" s="1">
        <v>0.51490896990740742</v>
      </c>
      <c r="C786" t="s">
        <v>14</v>
      </c>
      <c r="D786" t="s">
        <v>10</v>
      </c>
      <c r="E786" t="s">
        <v>1104</v>
      </c>
      <c r="F786">
        <v>37.72</v>
      </c>
      <c r="G786" t="s">
        <v>12</v>
      </c>
      <c r="H786" s="2">
        <v>45458</v>
      </c>
    </row>
    <row r="787" spans="1:8" x14ac:dyDescent="0.25">
      <c r="A787" t="s">
        <v>1105</v>
      </c>
      <c r="B787" s="1">
        <v>0.515821087962963</v>
      </c>
      <c r="C787" t="s">
        <v>14</v>
      </c>
      <c r="D787" t="s">
        <v>10</v>
      </c>
      <c r="E787" t="s">
        <v>1104</v>
      </c>
      <c r="F787">
        <v>32.82</v>
      </c>
      <c r="G787" t="s">
        <v>25</v>
      </c>
      <c r="H787" s="2">
        <v>45458</v>
      </c>
    </row>
    <row r="788" spans="1:8" x14ac:dyDescent="0.25">
      <c r="A788" t="s">
        <v>1106</v>
      </c>
      <c r="B788" s="1">
        <v>0.51657599537037036</v>
      </c>
      <c r="C788" t="s">
        <v>14</v>
      </c>
      <c r="D788" t="s">
        <v>10</v>
      </c>
      <c r="E788" t="s">
        <v>1104</v>
      </c>
      <c r="F788">
        <v>23.02</v>
      </c>
      <c r="G788" t="s">
        <v>72</v>
      </c>
      <c r="H788" s="2">
        <v>45458</v>
      </c>
    </row>
    <row r="789" spans="1:8" x14ac:dyDescent="0.25">
      <c r="A789" t="s">
        <v>1107</v>
      </c>
      <c r="B789" s="1">
        <v>0.51707326388888886</v>
      </c>
      <c r="C789" t="s">
        <v>14</v>
      </c>
      <c r="D789" t="s">
        <v>10</v>
      </c>
      <c r="E789" t="s">
        <v>1104</v>
      </c>
      <c r="F789">
        <v>37.72</v>
      </c>
      <c r="G789" t="s">
        <v>32</v>
      </c>
      <c r="H789" s="2">
        <v>45458</v>
      </c>
    </row>
    <row r="790" spans="1:8" x14ac:dyDescent="0.25">
      <c r="A790" t="s">
        <v>1108</v>
      </c>
      <c r="B790" s="1">
        <v>0.5176384259259259</v>
      </c>
      <c r="C790" t="s">
        <v>14</v>
      </c>
      <c r="D790" t="s">
        <v>10</v>
      </c>
      <c r="E790" t="s">
        <v>1104</v>
      </c>
      <c r="F790">
        <v>32.82</v>
      </c>
      <c r="G790" t="s">
        <v>25</v>
      </c>
      <c r="H790" s="2">
        <v>45458</v>
      </c>
    </row>
    <row r="791" spans="1:8" x14ac:dyDescent="0.25">
      <c r="A791" t="s">
        <v>1109</v>
      </c>
      <c r="B791" s="1">
        <v>0.6690961689814815</v>
      </c>
      <c r="C791" t="s">
        <v>14</v>
      </c>
      <c r="D791" t="s">
        <v>10</v>
      </c>
      <c r="E791" t="s">
        <v>1110</v>
      </c>
      <c r="F791">
        <v>32.82</v>
      </c>
      <c r="G791" t="s">
        <v>25</v>
      </c>
      <c r="H791" s="2">
        <v>45458</v>
      </c>
    </row>
    <row r="792" spans="1:8" x14ac:dyDescent="0.25">
      <c r="A792" t="s">
        <v>1111</v>
      </c>
      <c r="B792" s="1">
        <v>0.75977572916666669</v>
      </c>
      <c r="C792" t="s">
        <v>14</v>
      </c>
      <c r="D792" t="s">
        <v>10</v>
      </c>
      <c r="E792" t="s">
        <v>1112</v>
      </c>
      <c r="F792">
        <v>27.92</v>
      </c>
      <c r="G792" t="s">
        <v>20</v>
      </c>
      <c r="H792" s="2">
        <v>45458</v>
      </c>
    </row>
    <row r="793" spans="1:8" x14ac:dyDescent="0.25">
      <c r="A793" t="s">
        <v>1113</v>
      </c>
      <c r="B793" s="1">
        <v>0.44712333333333332</v>
      </c>
      <c r="C793" t="s">
        <v>9</v>
      </c>
      <c r="D793" t="s">
        <v>10</v>
      </c>
      <c r="E793" t="s">
        <v>192</v>
      </c>
      <c r="F793">
        <v>32.82</v>
      </c>
      <c r="G793" t="s">
        <v>25</v>
      </c>
      <c r="H793" s="2">
        <v>45459</v>
      </c>
    </row>
    <row r="794" spans="1:8" x14ac:dyDescent="0.25">
      <c r="A794" t="s">
        <v>1114</v>
      </c>
      <c r="B794" s="1">
        <v>0.45742321759259258</v>
      </c>
      <c r="C794" t="s">
        <v>9</v>
      </c>
      <c r="D794" t="s">
        <v>10</v>
      </c>
      <c r="E794" t="s">
        <v>1115</v>
      </c>
      <c r="F794">
        <v>37.72</v>
      </c>
      <c r="G794" t="s">
        <v>12</v>
      </c>
      <c r="H794" s="2">
        <v>45459</v>
      </c>
    </row>
    <row r="795" spans="1:8" x14ac:dyDescent="0.25">
      <c r="A795" t="s">
        <v>1116</v>
      </c>
      <c r="B795" s="1">
        <v>0.45877535879629627</v>
      </c>
      <c r="C795" t="s">
        <v>9</v>
      </c>
      <c r="D795" t="s">
        <v>10</v>
      </c>
      <c r="E795" t="s">
        <v>1115</v>
      </c>
      <c r="F795">
        <v>37.72</v>
      </c>
      <c r="G795" t="s">
        <v>16</v>
      </c>
      <c r="H795" s="2">
        <v>45459</v>
      </c>
    </row>
    <row r="796" spans="1:8" x14ac:dyDescent="0.25">
      <c r="A796" t="s">
        <v>1117</v>
      </c>
      <c r="B796" s="1">
        <v>0.45950796296296298</v>
      </c>
      <c r="C796" t="s">
        <v>9</v>
      </c>
      <c r="D796" t="s">
        <v>10</v>
      </c>
      <c r="E796" t="s">
        <v>1115</v>
      </c>
      <c r="F796">
        <v>37.72</v>
      </c>
      <c r="G796" t="s">
        <v>16</v>
      </c>
      <c r="H796" s="2">
        <v>45459</v>
      </c>
    </row>
    <row r="797" spans="1:8" x14ac:dyDescent="0.25">
      <c r="A797" t="s">
        <v>1118</v>
      </c>
      <c r="B797" s="1">
        <v>0.53434749999999998</v>
      </c>
      <c r="C797" t="s">
        <v>14</v>
      </c>
      <c r="D797" t="s">
        <v>10</v>
      </c>
      <c r="E797" t="s">
        <v>1038</v>
      </c>
      <c r="F797">
        <v>32.82</v>
      </c>
      <c r="G797" t="s">
        <v>25</v>
      </c>
      <c r="H797" s="2">
        <v>45459</v>
      </c>
    </row>
    <row r="798" spans="1:8" x14ac:dyDescent="0.25">
      <c r="A798" t="s">
        <v>1119</v>
      </c>
      <c r="B798" s="1">
        <v>0.58378462962962963</v>
      </c>
      <c r="C798" t="s">
        <v>14</v>
      </c>
      <c r="D798" t="s">
        <v>10</v>
      </c>
      <c r="E798" t="s">
        <v>1034</v>
      </c>
      <c r="F798">
        <v>23.02</v>
      </c>
      <c r="G798" t="s">
        <v>72</v>
      </c>
      <c r="H798" s="2">
        <v>45459</v>
      </c>
    </row>
    <row r="799" spans="1:8" x14ac:dyDescent="0.25">
      <c r="A799" t="s">
        <v>1120</v>
      </c>
      <c r="B799" s="1">
        <v>0.62680939814814818</v>
      </c>
      <c r="C799" t="s">
        <v>14</v>
      </c>
      <c r="D799" t="s">
        <v>10</v>
      </c>
      <c r="E799" t="s">
        <v>1121</v>
      </c>
      <c r="F799">
        <v>32.82</v>
      </c>
      <c r="G799" t="s">
        <v>25</v>
      </c>
      <c r="H799" s="2">
        <v>45459</v>
      </c>
    </row>
    <row r="800" spans="1:8" x14ac:dyDescent="0.25">
      <c r="A800" t="s">
        <v>1122</v>
      </c>
      <c r="B800" s="1">
        <v>0.62859283564814816</v>
      </c>
      <c r="C800" t="s">
        <v>14</v>
      </c>
      <c r="D800" t="s">
        <v>10</v>
      </c>
      <c r="E800" t="s">
        <v>1121</v>
      </c>
      <c r="F800">
        <v>32.82</v>
      </c>
      <c r="G800" t="s">
        <v>25</v>
      </c>
      <c r="H800" s="2">
        <v>45459</v>
      </c>
    </row>
    <row r="801" spans="1:8" x14ac:dyDescent="0.25">
      <c r="A801" t="s">
        <v>1123</v>
      </c>
      <c r="B801" s="1">
        <v>0.65555084490740745</v>
      </c>
      <c r="C801" t="s">
        <v>14</v>
      </c>
      <c r="D801" t="s">
        <v>10</v>
      </c>
      <c r="E801" t="s">
        <v>1124</v>
      </c>
      <c r="F801">
        <v>37.72</v>
      </c>
      <c r="G801" t="s">
        <v>16</v>
      </c>
      <c r="H801" s="2">
        <v>45459</v>
      </c>
    </row>
    <row r="802" spans="1:8" x14ac:dyDescent="0.25">
      <c r="A802" t="s">
        <v>1125</v>
      </c>
      <c r="B802" s="1">
        <v>0.69972825231481484</v>
      </c>
      <c r="C802" t="s">
        <v>14</v>
      </c>
      <c r="D802" t="s">
        <v>10</v>
      </c>
      <c r="E802" t="s">
        <v>1126</v>
      </c>
      <c r="F802">
        <v>37.72</v>
      </c>
      <c r="G802" t="s">
        <v>16</v>
      </c>
      <c r="H802" s="2">
        <v>45459</v>
      </c>
    </row>
    <row r="803" spans="1:8" x14ac:dyDescent="0.25">
      <c r="A803" t="s">
        <v>1127</v>
      </c>
      <c r="B803" s="1">
        <v>0.73978318287037037</v>
      </c>
      <c r="C803" t="s">
        <v>14</v>
      </c>
      <c r="D803" t="s">
        <v>10</v>
      </c>
      <c r="E803" t="s">
        <v>192</v>
      </c>
      <c r="F803">
        <v>32.82</v>
      </c>
      <c r="G803" t="s">
        <v>25</v>
      </c>
      <c r="H803" s="2">
        <v>45459</v>
      </c>
    </row>
    <row r="804" spans="1:8" x14ac:dyDescent="0.25">
      <c r="A804" t="s">
        <v>1128</v>
      </c>
      <c r="B804" s="1">
        <v>0.74046937499999999</v>
      </c>
      <c r="C804" t="s">
        <v>14</v>
      </c>
      <c r="D804" t="s">
        <v>10</v>
      </c>
      <c r="E804" t="s">
        <v>192</v>
      </c>
      <c r="F804">
        <v>32.82</v>
      </c>
      <c r="G804" t="s">
        <v>25</v>
      </c>
      <c r="H804" s="2">
        <v>45459</v>
      </c>
    </row>
    <row r="805" spans="1:8" x14ac:dyDescent="0.25">
      <c r="A805" t="s">
        <v>1129</v>
      </c>
      <c r="B805" s="1">
        <v>0.3731949537037037</v>
      </c>
      <c r="C805" t="s">
        <v>9</v>
      </c>
      <c r="D805" t="s">
        <v>10</v>
      </c>
      <c r="E805" t="s">
        <v>1130</v>
      </c>
      <c r="F805">
        <v>27.92</v>
      </c>
      <c r="G805" t="s">
        <v>20</v>
      </c>
      <c r="H805" s="2">
        <v>45460</v>
      </c>
    </row>
    <row r="806" spans="1:8" x14ac:dyDescent="0.25">
      <c r="A806" t="s">
        <v>1131</v>
      </c>
      <c r="B806" s="1">
        <v>0.42505947916666664</v>
      </c>
      <c r="C806" t="s">
        <v>9</v>
      </c>
      <c r="D806" t="s">
        <v>10</v>
      </c>
      <c r="E806" t="s">
        <v>1132</v>
      </c>
      <c r="F806">
        <v>27.92</v>
      </c>
      <c r="G806" t="s">
        <v>54</v>
      </c>
      <c r="H806" s="2">
        <v>45460</v>
      </c>
    </row>
    <row r="807" spans="1:8" x14ac:dyDescent="0.25">
      <c r="A807" t="s">
        <v>1133</v>
      </c>
      <c r="B807" s="1">
        <v>0.42612934027777777</v>
      </c>
      <c r="C807" t="s">
        <v>9</v>
      </c>
      <c r="D807" t="s">
        <v>10</v>
      </c>
      <c r="E807" t="s">
        <v>1132</v>
      </c>
      <c r="F807">
        <v>27.92</v>
      </c>
      <c r="G807" t="s">
        <v>54</v>
      </c>
      <c r="H807" s="2">
        <v>45460</v>
      </c>
    </row>
    <row r="808" spans="1:8" x14ac:dyDescent="0.25">
      <c r="A808" t="s">
        <v>1134</v>
      </c>
      <c r="B808" s="1">
        <v>0.45545842592592595</v>
      </c>
      <c r="C808" t="s">
        <v>9</v>
      </c>
      <c r="D808" t="s">
        <v>10</v>
      </c>
      <c r="E808" t="s">
        <v>129</v>
      </c>
      <c r="F808">
        <v>37.72</v>
      </c>
      <c r="G808" t="s">
        <v>93</v>
      </c>
      <c r="H808" s="2">
        <v>45460</v>
      </c>
    </row>
    <row r="809" spans="1:8" x14ac:dyDescent="0.25">
      <c r="A809" t="s">
        <v>1135</v>
      </c>
      <c r="B809" s="1">
        <v>0.61915950231481487</v>
      </c>
      <c r="C809" t="s">
        <v>14</v>
      </c>
      <c r="D809" t="s">
        <v>10</v>
      </c>
      <c r="E809" t="s">
        <v>646</v>
      </c>
      <c r="F809">
        <v>37.72</v>
      </c>
      <c r="G809" t="s">
        <v>93</v>
      </c>
      <c r="H809" s="2">
        <v>45460</v>
      </c>
    </row>
    <row r="810" spans="1:8" x14ac:dyDescent="0.25">
      <c r="A810" t="s">
        <v>1136</v>
      </c>
      <c r="B810" s="1">
        <v>0.70154445601851856</v>
      </c>
      <c r="C810" t="s">
        <v>14</v>
      </c>
      <c r="D810" t="s">
        <v>10</v>
      </c>
      <c r="E810" t="s">
        <v>43</v>
      </c>
      <c r="F810">
        <v>37.72</v>
      </c>
      <c r="G810" t="s">
        <v>93</v>
      </c>
      <c r="H810" s="2">
        <v>45460</v>
      </c>
    </row>
    <row r="811" spans="1:8" x14ac:dyDescent="0.25">
      <c r="A811" t="s">
        <v>1137</v>
      </c>
      <c r="B811" s="1">
        <v>0.70221108796296294</v>
      </c>
      <c r="C811" t="s">
        <v>14</v>
      </c>
      <c r="D811" t="s">
        <v>10</v>
      </c>
      <c r="E811" t="s">
        <v>43</v>
      </c>
      <c r="F811">
        <v>37.72</v>
      </c>
      <c r="G811" t="s">
        <v>93</v>
      </c>
      <c r="H811" s="2">
        <v>45460</v>
      </c>
    </row>
    <row r="812" spans="1:8" x14ac:dyDescent="0.25">
      <c r="A812" t="s">
        <v>1138</v>
      </c>
      <c r="B812" s="1">
        <v>0.70319833333333337</v>
      </c>
      <c r="C812" t="s">
        <v>14</v>
      </c>
      <c r="D812" t="s">
        <v>10</v>
      </c>
      <c r="E812" t="s">
        <v>43</v>
      </c>
      <c r="F812">
        <v>27.92</v>
      </c>
      <c r="G812" t="s">
        <v>20</v>
      </c>
      <c r="H812" s="2">
        <v>45460</v>
      </c>
    </row>
    <row r="813" spans="1:8" x14ac:dyDescent="0.25">
      <c r="A813" t="s">
        <v>1139</v>
      </c>
      <c r="B813" s="1">
        <v>0.78564387731481478</v>
      </c>
      <c r="C813" t="s">
        <v>14</v>
      </c>
      <c r="D813" t="s">
        <v>10</v>
      </c>
      <c r="E813" t="s">
        <v>1140</v>
      </c>
      <c r="F813">
        <v>27.92</v>
      </c>
      <c r="G813" t="s">
        <v>20</v>
      </c>
      <c r="H813" s="2">
        <v>45460</v>
      </c>
    </row>
    <row r="814" spans="1:8" x14ac:dyDescent="0.25">
      <c r="A814" t="s">
        <v>1141</v>
      </c>
      <c r="B814" s="1">
        <v>0.88624403935185181</v>
      </c>
      <c r="C814" t="s">
        <v>14</v>
      </c>
      <c r="D814" t="s">
        <v>10</v>
      </c>
      <c r="E814" t="s">
        <v>35</v>
      </c>
      <c r="F814">
        <v>32.82</v>
      </c>
      <c r="G814" t="s">
        <v>25</v>
      </c>
      <c r="H814" s="2">
        <v>45460</v>
      </c>
    </row>
    <row r="815" spans="1:8" x14ac:dyDescent="0.25">
      <c r="A815" t="s">
        <v>1142</v>
      </c>
      <c r="B815" s="1">
        <v>0.58618200231481477</v>
      </c>
      <c r="C815" t="s">
        <v>14</v>
      </c>
      <c r="D815" t="s">
        <v>10</v>
      </c>
      <c r="E815" t="s">
        <v>1102</v>
      </c>
      <c r="F815">
        <v>27.92</v>
      </c>
      <c r="G815" t="s">
        <v>20</v>
      </c>
      <c r="H815" s="2">
        <v>45461</v>
      </c>
    </row>
    <row r="816" spans="1:8" x14ac:dyDescent="0.25">
      <c r="A816" t="s">
        <v>1143</v>
      </c>
      <c r="B816" s="1">
        <v>0.58694806712962966</v>
      </c>
      <c r="C816" t="s">
        <v>14</v>
      </c>
      <c r="D816" t="s">
        <v>10</v>
      </c>
      <c r="E816" t="s">
        <v>1102</v>
      </c>
      <c r="F816">
        <v>37.72</v>
      </c>
      <c r="G816" t="s">
        <v>93</v>
      </c>
      <c r="H816" s="2">
        <v>45461</v>
      </c>
    </row>
    <row r="817" spans="1:8" x14ac:dyDescent="0.25">
      <c r="A817" t="s">
        <v>1144</v>
      </c>
      <c r="B817" s="1">
        <v>0.80602512731481479</v>
      </c>
      <c r="C817" t="s">
        <v>14</v>
      </c>
      <c r="D817" t="s">
        <v>10</v>
      </c>
      <c r="E817" t="s">
        <v>604</v>
      </c>
      <c r="F817">
        <v>37.72</v>
      </c>
      <c r="G817" t="s">
        <v>93</v>
      </c>
      <c r="H817" s="2">
        <v>45461</v>
      </c>
    </row>
    <row r="818" spans="1:8" x14ac:dyDescent="0.25">
      <c r="A818" t="s">
        <v>1145</v>
      </c>
      <c r="B818" s="1">
        <v>0.80670013888888892</v>
      </c>
      <c r="C818" t="s">
        <v>14</v>
      </c>
      <c r="D818" t="s">
        <v>10</v>
      </c>
      <c r="E818" t="s">
        <v>604</v>
      </c>
      <c r="F818">
        <v>37.72</v>
      </c>
      <c r="G818" t="s">
        <v>93</v>
      </c>
      <c r="H818" s="2">
        <v>45461</v>
      </c>
    </row>
    <row r="819" spans="1:8" x14ac:dyDescent="0.25">
      <c r="A819" t="s">
        <v>1146</v>
      </c>
      <c r="B819" s="1">
        <v>0.85821177083333333</v>
      </c>
      <c r="C819" t="s">
        <v>14</v>
      </c>
      <c r="D819" t="s">
        <v>10</v>
      </c>
      <c r="E819" t="s">
        <v>1147</v>
      </c>
      <c r="F819">
        <v>27.92</v>
      </c>
      <c r="G819" t="s">
        <v>54</v>
      </c>
      <c r="H819" s="2">
        <v>45461</v>
      </c>
    </row>
    <row r="820" spans="1:8" x14ac:dyDescent="0.25">
      <c r="A820" t="s">
        <v>1148</v>
      </c>
      <c r="B820" s="1">
        <v>0.8894621064814815</v>
      </c>
      <c r="C820" t="s">
        <v>14</v>
      </c>
      <c r="D820" t="s">
        <v>10</v>
      </c>
      <c r="E820" t="s">
        <v>43</v>
      </c>
      <c r="F820">
        <v>32.82</v>
      </c>
      <c r="G820" t="s">
        <v>25</v>
      </c>
      <c r="H820" s="2">
        <v>45461</v>
      </c>
    </row>
    <row r="821" spans="1:8" x14ac:dyDescent="0.25">
      <c r="A821" t="s">
        <v>1149</v>
      </c>
      <c r="B821" s="1">
        <v>0.89049210648148147</v>
      </c>
      <c r="C821" t="s">
        <v>14</v>
      </c>
      <c r="D821" t="s">
        <v>10</v>
      </c>
      <c r="E821" t="s">
        <v>43</v>
      </c>
      <c r="F821">
        <v>32.82</v>
      </c>
      <c r="G821" t="s">
        <v>25</v>
      </c>
      <c r="H821" s="2">
        <v>45461</v>
      </c>
    </row>
    <row r="822" spans="1:8" x14ac:dyDescent="0.25">
      <c r="A822" t="s">
        <v>1150</v>
      </c>
      <c r="B822" s="1">
        <v>0.32453510416666664</v>
      </c>
      <c r="C822" t="s">
        <v>9</v>
      </c>
      <c r="D822" t="s">
        <v>10</v>
      </c>
      <c r="E822" t="s">
        <v>1151</v>
      </c>
      <c r="F822">
        <v>37.72</v>
      </c>
      <c r="G822" t="s">
        <v>12</v>
      </c>
      <c r="H822" s="2">
        <v>45462</v>
      </c>
    </row>
    <row r="823" spans="1:8" x14ac:dyDescent="0.25">
      <c r="A823" t="s">
        <v>1152</v>
      </c>
      <c r="B823" s="1">
        <v>0.34576976851851854</v>
      </c>
      <c r="C823" t="s">
        <v>9</v>
      </c>
      <c r="D823" t="s">
        <v>10</v>
      </c>
      <c r="E823" t="s">
        <v>547</v>
      </c>
      <c r="F823">
        <v>27.92</v>
      </c>
      <c r="G823" t="s">
        <v>54</v>
      </c>
      <c r="H823" s="2">
        <v>45462</v>
      </c>
    </row>
    <row r="824" spans="1:8" x14ac:dyDescent="0.25">
      <c r="A824" t="s">
        <v>1153</v>
      </c>
      <c r="B824" s="1">
        <v>0.45417236111111109</v>
      </c>
      <c r="C824" t="s">
        <v>9</v>
      </c>
      <c r="D824" t="s">
        <v>10</v>
      </c>
      <c r="E824" t="s">
        <v>1154</v>
      </c>
      <c r="F824">
        <v>27.92</v>
      </c>
      <c r="G824" t="s">
        <v>20</v>
      </c>
      <c r="H824" s="2">
        <v>45462</v>
      </c>
    </row>
    <row r="825" spans="1:8" x14ac:dyDescent="0.25">
      <c r="A825" t="s">
        <v>1155</v>
      </c>
      <c r="B825" s="1">
        <v>0.4662940625</v>
      </c>
      <c r="C825" t="s">
        <v>9</v>
      </c>
      <c r="D825" t="s">
        <v>10</v>
      </c>
      <c r="E825" t="s">
        <v>1156</v>
      </c>
      <c r="F825">
        <v>37.72</v>
      </c>
      <c r="G825" t="s">
        <v>12</v>
      </c>
      <c r="H825" s="2">
        <v>45462</v>
      </c>
    </row>
    <row r="826" spans="1:8" x14ac:dyDescent="0.25">
      <c r="A826" t="s">
        <v>1157</v>
      </c>
      <c r="B826" s="1">
        <v>0.46703023148148148</v>
      </c>
      <c r="C826" t="s">
        <v>9</v>
      </c>
      <c r="D826" t="s">
        <v>10</v>
      </c>
      <c r="E826" t="s">
        <v>1156</v>
      </c>
      <c r="F826">
        <v>37.72</v>
      </c>
      <c r="G826" t="s">
        <v>32</v>
      </c>
      <c r="H826" s="2">
        <v>45462</v>
      </c>
    </row>
    <row r="827" spans="1:8" x14ac:dyDescent="0.25">
      <c r="A827" t="s">
        <v>1158</v>
      </c>
      <c r="B827" s="1">
        <v>0.59833631944444443</v>
      </c>
      <c r="C827" t="s">
        <v>14</v>
      </c>
      <c r="D827" t="s">
        <v>10</v>
      </c>
      <c r="E827" t="s">
        <v>646</v>
      </c>
      <c r="F827">
        <v>32.82</v>
      </c>
      <c r="G827" t="s">
        <v>25</v>
      </c>
      <c r="H827" s="2">
        <v>45462</v>
      </c>
    </row>
    <row r="828" spans="1:8" x14ac:dyDescent="0.25">
      <c r="A828" t="s">
        <v>1159</v>
      </c>
      <c r="B828" s="1">
        <v>0.76994718750000002</v>
      </c>
      <c r="C828" t="s">
        <v>14</v>
      </c>
      <c r="D828" t="s">
        <v>10</v>
      </c>
      <c r="E828" t="s">
        <v>600</v>
      </c>
      <c r="F828">
        <v>37.72</v>
      </c>
      <c r="G828" t="s">
        <v>93</v>
      </c>
      <c r="H828" s="2">
        <v>45462</v>
      </c>
    </row>
    <row r="829" spans="1:8" x14ac:dyDescent="0.25">
      <c r="A829" t="s">
        <v>1160</v>
      </c>
      <c r="B829" s="1">
        <v>0.7708213078703704</v>
      </c>
      <c r="C829" t="s">
        <v>14</v>
      </c>
      <c r="D829" t="s">
        <v>10</v>
      </c>
      <c r="E829" t="s">
        <v>600</v>
      </c>
      <c r="F829">
        <v>37.72</v>
      </c>
      <c r="G829" t="s">
        <v>12</v>
      </c>
      <c r="H829" s="2">
        <v>45462</v>
      </c>
    </row>
    <row r="830" spans="1:8" x14ac:dyDescent="0.25">
      <c r="A830" t="s">
        <v>1161</v>
      </c>
      <c r="B830" s="1">
        <v>0.8135566319444445</v>
      </c>
      <c r="C830" t="s">
        <v>14</v>
      </c>
      <c r="D830" t="s">
        <v>10</v>
      </c>
      <c r="E830" t="s">
        <v>35</v>
      </c>
      <c r="F830">
        <v>32.82</v>
      </c>
      <c r="G830" t="s">
        <v>25</v>
      </c>
      <c r="H830" s="2">
        <v>45462</v>
      </c>
    </row>
    <row r="831" spans="1:8" x14ac:dyDescent="0.25">
      <c r="A831" t="s">
        <v>1162</v>
      </c>
      <c r="B831" s="1">
        <v>0.89513292824074076</v>
      </c>
      <c r="C831" t="s">
        <v>14</v>
      </c>
      <c r="D831" t="s">
        <v>10</v>
      </c>
      <c r="E831" t="s">
        <v>747</v>
      </c>
      <c r="F831">
        <v>37.72</v>
      </c>
      <c r="G831" t="s">
        <v>93</v>
      </c>
      <c r="H831" s="2">
        <v>45462</v>
      </c>
    </row>
    <row r="832" spans="1:8" x14ac:dyDescent="0.25">
      <c r="A832" t="s">
        <v>1163</v>
      </c>
      <c r="B832" s="1">
        <v>0.89587365740740743</v>
      </c>
      <c r="C832" t="s">
        <v>14</v>
      </c>
      <c r="D832" t="s">
        <v>10</v>
      </c>
      <c r="E832" t="s">
        <v>747</v>
      </c>
      <c r="F832">
        <v>32.82</v>
      </c>
      <c r="G832" t="s">
        <v>25</v>
      </c>
      <c r="H832" s="2">
        <v>45462</v>
      </c>
    </row>
    <row r="833" spans="1:8" x14ac:dyDescent="0.25">
      <c r="A833" t="s">
        <v>1164</v>
      </c>
      <c r="B833" s="1">
        <v>0.4514635763888889</v>
      </c>
      <c r="C833" t="s">
        <v>9</v>
      </c>
      <c r="D833" t="s">
        <v>10</v>
      </c>
      <c r="E833" t="s">
        <v>346</v>
      </c>
      <c r="F833">
        <v>37.72</v>
      </c>
      <c r="G833" t="s">
        <v>12</v>
      </c>
      <c r="H833" s="2">
        <v>45463</v>
      </c>
    </row>
    <row r="834" spans="1:8" x14ac:dyDescent="0.25">
      <c r="A834" t="s">
        <v>1165</v>
      </c>
      <c r="B834" s="1">
        <v>0.79099631944444448</v>
      </c>
      <c r="C834" t="s">
        <v>14</v>
      </c>
      <c r="D834" t="s">
        <v>10</v>
      </c>
      <c r="E834" t="s">
        <v>1166</v>
      </c>
      <c r="F834">
        <v>37.72</v>
      </c>
      <c r="G834" t="s">
        <v>12</v>
      </c>
      <c r="H834" s="2">
        <v>45463</v>
      </c>
    </row>
    <row r="835" spans="1:8" x14ac:dyDescent="0.25">
      <c r="A835" t="s">
        <v>1167</v>
      </c>
      <c r="B835" s="1">
        <v>0.79166940972222222</v>
      </c>
      <c r="C835" t="s">
        <v>14</v>
      </c>
      <c r="D835" t="s">
        <v>10</v>
      </c>
      <c r="E835" t="s">
        <v>1166</v>
      </c>
      <c r="F835">
        <v>37.72</v>
      </c>
      <c r="G835" t="s">
        <v>12</v>
      </c>
      <c r="H835" s="2">
        <v>45463</v>
      </c>
    </row>
    <row r="836" spans="1:8" x14ac:dyDescent="0.25">
      <c r="A836" t="s">
        <v>1168</v>
      </c>
      <c r="B836" s="1">
        <v>0.90219922453703705</v>
      </c>
      <c r="C836" t="s">
        <v>14</v>
      </c>
      <c r="D836" t="s">
        <v>10</v>
      </c>
      <c r="E836" t="s">
        <v>978</v>
      </c>
      <c r="F836">
        <v>37.72</v>
      </c>
      <c r="G836" t="s">
        <v>12</v>
      </c>
      <c r="H836" s="2">
        <v>45463</v>
      </c>
    </row>
    <row r="837" spans="1:8" x14ac:dyDescent="0.25">
      <c r="A837" t="s">
        <v>1169</v>
      </c>
      <c r="B837" s="1">
        <v>0.9150527083333333</v>
      </c>
      <c r="C837" t="s">
        <v>14</v>
      </c>
      <c r="D837" t="s">
        <v>10</v>
      </c>
      <c r="E837" t="s">
        <v>35</v>
      </c>
      <c r="F837">
        <v>37.72</v>
      </c>
      <c r="G837" t="s">
        <v>12</v>
      </c>
      <c r="H837" s="2">
        <v>45463</v>
      </c>
    </row>
    <row r="838" spans="1:8" x14ac:dyDescent="0.25">
      <c r="A838" t="s">
        <v>1170</v>
      </c>
      <c r="B838" s="1">
        <v>0.91617590277777783</v>
      </c>
      <c r="C838" t="s">
        <v>14</v>
      </c>
      <c r="D838" t="s">
        <v>10</v>
      </c>
      <c r="E838" t="s">
        <v>35</v>
      </c>
      <c r="F838">
        <v>32.82</v>
      </c>
      <c r="G838" t="s">
        <v>25</v>
      </c>
      <c r="H838" s="2">
        <v>45463</v>
      </c>
    </row>
    <row r="839" spans="1:8" x14ac:dyDescent="0.25">
      <c r="A839" t="s">
        <v>1171</v>
      </c>
      <c r="B839" s="1">
        <v>0.4166195601851852</v>
      </c>
      <c r="C839" t="s">
        <v>9</v>
      </c>
      <c r="D839" t="s">
        <v>10</v>
      </c>
      <c r="E839" t="s">
        <v>1151</v>
      </c>
      <c r="F839">
        <v>37.72</v>
      </c>
      <c r="G839" t="s">
        <v>12</v>
      </c>
      <c r="H839" s="2">
        <v>45464</v>
      </c>
    </row>
    <row r="840" spans="1:8" x14ac:dyDescent="0.25">
      <c r="A840" t="s">
        <v>1172</v>
      </c>
      <c r="B840" s="1">
        <v>0.41782619212962963</v>
      </c>
      <c r="C840" t="s">
        <v>9</v>
      </c>
      <c r="D840" t="s">
        <v>10</v>
      </c>
      <c r="E840" t="s">
        <v>1173</v>
      </c>
      <c r="F840">
        <v>27.92</v>
      </c>
      <c r="G840" t="s">
        <v>20</v>
      </c>
      <c r="H840" s="2">
        <v>45464</v>
      </c>
    </row>
    <row r="841" spans="1:8" x14ac:dyDescent="0.25">
      <c r="A841" t="s">
        <v>1174</v>
      </c>
      <c r="B841" s="1">
        <v>0.55508583333333328</v>
      </c>
      <c r="C841" t="s">
        <v>14</v>
      </c>
      <c r="D841" t="s">
        <v>10</v>
      </c>
      <c r="E841" t="s">
        <v>43</v>
      </c>
      <c r="F841">
        <v>32.82</v>
      </c>
      <c r="G841" t="s">
        <v>25</v>
      </c>
      <c r="H841" s="2">
        <v>45464</v>
      </c>
    </row>
    <row r="842" spans="1:8" x14ac:dyDescent="0.25">
      <c r="A842" t="s">
        <v>1175</v>
      </c>
      <c r="B842" s="1">
        <v>0.55592028935185189</v>
      </c>
      <c r="C842" t="s">
        <v>14</v>
      </c>
      <c r="D842" t="s">
        <v>10</v>
      </c>
      <c r="E842" t="s">
        <v>43</v>
      </c>
      <c r="F842">
        <v>32.82</v>
      </c>
      <c r="G842" t="s">
        <v>25</v>
      </c>
      <c r="H842" s="2">
        <v>45464</v>
      </c>
    </row>
    <row r="843" spans="1:8" x14ac:dyDescent="0.25">
      <c r="A843" t="s">
        <v>1176</v>
      </c>
      <c r="B843" s="1">
        <v>0.75851925925925923</v>
      </c>
      <c r="C843" t="s">
        <v>14</v>
      </c>
      <c r="D843" t="s">
        <v>10</v>
      </c>
      <c r="E843" t="s">
        <v>1177</v>
      </c>
      <c r="F843">
        <v>23.02</v>
      </c>
      <c r="G843" t="s">
        <v>72</v>
      </c>
      <c r="H843" s="2">
        <v>45464</v>
      </c>
    </row>
    <row r="844" spans="1:8" x14ac:dyDescent="0.25">
      <c r="A844" t="s">
        <v>1178</v>
      </c>
      <c r="B844" s="1">
        <v>0.81280846064814816</v>
      </c>
      <c r="C844" t="s">
        <v>14</v>
      </c>
      <c r="D844" t="s">
        <v>10</v>
      </c>
      <c r="E844" t="s">
        <v>35</v>
      </c>
      <c r="F844">
        <v>37.72</v>
      </c>
      <c r="G844" t="s">
        <v>12</v>
      </c>
      <c r="H844" s="2">
        <v>45464</v>
      </c>
    </row>
    <row r="845" spans="1:8" x14ac:dyDescent="0.25">
      <c r="A845" t="s">
        <v>1179</v>
      </c>
      <c r="B845" s="1">
        <v>0.82437732638888894</v>
      </c>
      <c r="C845" t="s">
        <v>14</v>
      </c>
      <c r="D845" t="s">
        <v>10</v>
      </c>
      <c r="E845" t="s">
        <v>604</v>
      </c>
      <c r="F845">
        <v>37.72</v>
      </c>
      <c r="G845" t="s">
        <v>93</v>
      </c>
      <c r="H845" s="2">
        <v>45464</v>
      </c>
    </row>
    <row r="846" spans="1:8" x14ac:dyDescent="0.25">
      <c r="A846" t="s">
        <v>1180</v>
      </c>
      <c r="B846" s="1">
        <v>0.82507769675925924</v>
      </c>
      <c r="C846" t="s">
        <v>14</v>
      </c>
      <c r="D846" t="s">
        <v>10</v>
      </c>
      <c r="E846" t="s">
        <v>604</v>
      </c>
      <c r="F846">
        <v>37.72</v>
      </c>
      <c r="G846" t="s">
        <v>93</v>
      </c>
      <c r="H846" s="2">
        <v>45464</v>
      </c>
    </row>
    <row r="847" spans="1:8" x14ac:dyDescent="0.25">
      <c r="A847" t="s">
        <v>1181</v>
      </c>
      <c r="B847" s="1">
        <v>0.8263252893518519</v>
      </c>
      <c r="C847" t="s">
        <v>14</v>
      </c>
      <c r="D847" t="s">
        <v>10</v>
      </c>
      <c r="E847" t="s">
        <v>707</v>
      </c>
      <c r="F847">
        <v>37.72</v>
      </c>
      <c r="G847" t="s">
        <v>93</v>
      </c>
      <c r="H847" s="2">
        <v>45464</v>
      </c>
    </row>
    <row r="848" spans="1:8" x14ac:dyDescent="0.25">
      <c r="A848" t="s">
        <v>1182</v>
      </c>
      <c r="B848" s="1">
        <v>0.82708577546296291</v>
      </c>
      <c r="C848" t="s">
        <v>14</v>
      </c>
      <c r="D848" t="s">
        <v>10</v>
      </c>
      <c r="E848" t="s">
        <v>707</v>
      </c>
      <c r="F848">
        <v>37.72</v>
      </c>
      <c r="G848" t="s">
        <v>93</v>
      </c>
      <c r="H848" s="2">
        <v>45464</v>
      </c>
    </row>
    <row r="849" spans="1:8" x14ac:dyDescent="0.25">
      <c r="A849" t="s">
        <v>1183</v>
      </c>
      <c r="B849" s="1">
        <v>0.82799508101851849</v>
      </c>
      <c r="C849" t="s">
        <v>14</v>
      </c>
      <c r="D849" t="s">
        <v>10</v>
      </c>
      <c r="E849" t="s">
        <v>707</v>
      </c>
      <c r="F849">
        <v>27.92</v>
      </c>
      <c r="G849" t="s">
        <v>20</v>
      </c>
      <c r="H849" s="2">
        <v>45464</v>
      </c>
    </row>
    <row r="850" spans="1:8" x14ac:dyDescent="0.25">
      <c r="A850" t="s">
        <v>1184</v>
      </c>
      <c r="B850" s="1">
        <v>0.83029099537037032</v>
      </c>
      <c r="C850" t="s">
        <v>14</v>
      </c>
      <c r="D850" t="s">
        <v>10</v>
      </c>
      <c r="E850" t="s">
        <v>1151</v>
      </c>
      <c r="F850">
        <v>32.82</v>
      </c>
      <c r="G850" t="s">
        <v>25</v>
      </c>
      <c r="H850" s="2">
        <v>45464</v>
      </c>
    </row>
    <row r="851" spans="1:8" x14ac:dyDescent="0.25">
      <c r="A851" t="s">
        <v>1185</v>
      </c>
      <c r="B851" s="1">
        <v>0.36099853009259258</v>
      </c>
      <c r="C851" t="s">
        <v>9</v>
      </c>
      <c r="D851" t="s">
        <v>10</v>
      </c>
      <c r="E851" t="s">
        <v>547</v>
      </c>
      <c r="F851">
        <v>27.92</v>
      </c>
      <c r="G851" t="s">
        <v>54</v>
      </c>
      <c r="H851" s="2">
        <v>45465</v>
      </c>
    </row>
    <row r="852" spans="1:8" x14ac:dyDescent="0.25">
      <c r="A852" t="s">
        <v>1186</v>
      </c>
      <c r="B852" s="1">
        <v>0.40125901620370369</v>
      </c>
      <c r="C852" t="s">
        <v>9</v>
      </c>
      <c r="D852" t="s">
        <v>10</v>
      </c>
      <c r="E852" t="s">
        <v>1151</v>
      </c>
      <c r="F852">
        <v>32.82</v>
      </c>
      <c r="G852" t="s">
        <v>25</v>
      </c>
      <c r="H852" s="2">
        <v>45465</v>
      </c>
    </row>
    <row r="853" spans="1:8" x14ac:dyDescent="0.25">
      <c r="A853" t="s">
        <v>1187</v>
      </c>
      <c r="B853" s="1">
        <v>0.53698542824074069</v>
      </c>
      <c r="C853" t="s">
        <v>14</v>
      </c>
      <c r="D853" t="s">
        <v>10</v>
      </c>
      <c r="E853" t="s">
        <v>1188</v>
      </c>
      <c r="F853">
        <v>32.82</v>
      </c>
      <c r="G853" t="s">
        <v>25</v>
      </c>
      <c r="H853" s="2">
        <v>45465</v>
      </c>
    </row>
    <row r="854" spans="1:8" x14ac:dyDescent="0.25">
      <c r="A854" t="s">
        <v>1189</v>
      </c>
      <c r="B854" s="1">
        <v>0.65092751157407402</v>
      </c>
      <c r="C854" t="s">
        <v>14</v>
      </c>
      <c r="D854" t="s">
        <v>10</v>
      </c>
      <c r="E854" t="s">
        <v>35</v>
      </c>
      <c r="F854">
        <v>37.72</v>
      </c>
      <c r="G854" t="s">
        <v>12</v>
      </c>
      <c r="H854" s="2">
        <v>45465</v>
      </c>
    </row>
    <row r="855" spans="1:8" x14ac:dyDescent="0.25">
      <c r="A855" t="s">
        <v>1190</v>
      </c>
      <c r="B855" s="1">
        <v>0.92387729166666666</v>
      </c>
      <c r="C855" t="s">
        <v>14</v>
      </c>
      <c r="D855" t="s">
        <v>10</v>
      </c>
      <c r="E855" t="s">
        <v>1191</v>
      </c>
      <c r="F855">
        <v>37.72</v>
      </c>
      <c r="G855" t="s">
        <v>93</v>
      </c>
      <c r="H855" s="2">
        <v>45465</v>
      </c>
    </row>
    <row r="856" spans="1:8" x14ac:dyDescent="0.25">
      <c r="A856" t="s">
        <v>1192</v>
      </c>
      <c r="B856" s="1">
        <v>0.75834960648148153</v>
      </c>
      <c r="C856" t="s">
        <v>14</v>
      </c>
      <c r="D856" t="s">
        <v>10</v>
      </c>
      <c r="E856" t="s">
        <v>43</v>
      </c>
      <c r="F856">
        <v>32.82</v>
      </c>
      <c r="G856" t="s">
        <v>25</v>
      </c>
      <c r="H856" s="2">
        <v>45466</v>
      </c>
    </row>
    <row r="857" spans="1:8" x14ac:dyDescent="0.25">
      <c r="A857" t="s">
        <v>1193</v>
      </c>
      <c r="B857" s="1">
        <v>0.75961386574074075</v>
      </c>
      <c r="C857" t="s">
        <v>14</v>
      </c>
      <c r="D857" t="s">
        <v>10</v>
      </c>
      <c r="E857" t="s">
        <v>43</v>
      </c>
      <c r="F857">
        <v>32.82</v>
      </c>
      <c r="G857" t="s">
        <v>25</v>
      </c>
      <c r="H857" s="2">
        <v>45466</v>
      </c>
    </row>
    <row r="858" spans="1:8" x14ac:dyDescent="0.25">
      <c r="A858" t="s">
        <v>1194</v>
      </c>
      <c r="B858" s="1">
        <v>0.87971013888888894</v>
      </c>
      <c r="C858" t="s">
        <v>14</v>
      </c>
      <c r="D858" t="s">
        <v>10</v>
      </c>
      <c r="E858" t="s">
        <v>1195</v>
      </c>
      <c r="F858">
        <v>37.72</v>
      </c>
      <c r="G858" t="s">
        <v>93</v>
      </c>
      <c r="H858" s="2">
        <v>45466</v>
      </c>
    </row>
    <row r="859" spans="1:8" x14ac:dyDescent="0.25">
      <c r="A859" t="s">
        <v>1196</v>
      </c>
      <c r="B859" s="1">
        <v>0.89522943287037038</v>
      </c>
      <c r="C859" t="s">
        <v>14</v>
      </c>
      <c r="D859" t="s">
        <v>10</v>
      </c>
      <c r="E859" t="s">
        <v>1197</v>
      </c>
      <c r="F859">
        <v>37.72</v>
      </c>
      <c r="G859" t="s">
        <v>12</v>
      </c>
      <c r="H859" s="2">
        <v>45466</v>
      </c>
    </row>
    <row r="860" spans="1:8" x14ac:dyDescent="0.25">
      <c r="A860" t="s">
        <v>1198</v>
      </c>
      <c r="B860" s="1">
        <v>0.89625434027777773</v>
      </c>
      <c r="C860" t="s">
        <v>14</v>
      </c>
      <c r="D860" t="s">
        <v>10</v>
      </c>
      <c r="E860" t="s">
        <v>1197</v>
      </c>
      <c r="F860">
        <v>37.72</v>
      </c>
      <c r="G860" t="s">
        <v>93</v>
      </c>
      <c r="H860" s="2">
        <v>45466</v>
      </c>
    </row>
    <row r="861" spans="1:8" x14ac:dyDescent="0.25">
      <c r="A861" t="s">
        <v>1199</v>
      </c>
      <c r="B861" s="1">
        <v>0.48935114583333333</v>
      </c>
      <c r="C861" t="s">
        <v>9</v>
      </c>
      <c r="D861" t="s">
        <v>10</v>
      </c>
      <c r="E861" t="s">
        <v>646</v>
      </c>
      <c r="F861">
        <v>32.82</v>
      </c>
      <c r="G861" t="s">
        <v>25</v>
      </c>
      <c r="H861" s="2">
        <v>45467</v>
      </c>
    </row>
    <row r="862" spans="1:8" x14ac:dyDescent="0.25">
      <c r="A862" t="s">
        <v>1200</v>
      </c>
      <c r="B862" s="1">
        <v>0.49277828703703702</v>
      </c>
      <c r="C862" t="s">
        <v>9</v>
      </c>
      <c r="D862" t="s">
        <v>10</v>
      </c>
      <c r="E862" t="s">
        <v>707</v>
      </c>
      <c r="F862">
        <v>37.72</v>
      </c>
      <c r="G862" t="s">
        <v>93</v>
      </c>
      <c r="H862" s="2">
        <v>45467</v>
      </c>
    </row>
    <row r="863" spans="1:8" x14ac:dyDescent="0.25">
      <c r="A863" t="s">
        <v>1201</v>
      </c>
      <c r="B863" s="1">
        <v>0.49356574074074072</v>
      </c>
      <c r="C863" t="s">
        <v>9</v>
      </c>
      <c r="D863" t="s">
        <v>10</v>
      </c>
      <c r="E863" t="s">
        <v>707</v>
      </c>
      <c r="F863">
        <v>37.72</v>
      </c>
      <c r="G863" t="s">
        <v>93</v>
      </c>
      <c r="H863" s="2">
        <v>45467</v>
      </c>
    </row>
    <row r="864" spans="1:8" x14ac:dyDescent="0.25">
      <c r="A864" t="s">
        <v>1202</v>
      </c>
      <c r="B864" s="1">
        <v>0.62672447916666663</v>
      </c>
      <c r="C864" t="s">
        <v>14</v>
      </c>
      <c r="D864" t="s">
        <v>10</v>
      </c>
      <c r="E864" t="s">
        <v>1203</v>
      </c>
      <c r="F864">
        <v>37.72</v>
      </c>
      <c r="G864" t="s">
        <v>12</v>
      </c>
      <c r="H864" s="2">
        <v>45467</v>
      </c>
    </row>
    <row r="865" spans="1:8" x14ac:dyDescent="0.25">
      <c r="A865" t="s">
        <v>1204</v>
      </c>
      <c r="B865" s="1">
        <v>0.69861774305555557</v>
      </c>
      <c r="C865" t="s">
        <v>14</v>
      </c>
      <c r="D865" t="s">
        <v>10</v>
      </c>
      <c r="E865" t="s">
        <v>791</v>
      </c>
      <c r="F865">
        <v>37.72</v>
      </c>
      <c r="G865" t="s">
        <v>93</v>
      </c>
      <c r="H865" s="2">
        <v>45467</v>
      </c>
    </row>
    <row r="866" spans="1:8" x14ac:dyDescent="0.25">
      <c r="A866" t="s">
        <v>1205</v>
      </c>
      <c r="B866" s="1">
        <v>0.6993102893518518</v>
      </c>
      <c r="C866" t="s">
        <v>14</v>
      </c>
      <c r="D866" t="s">
        <v>10</v>
      </c>
      <c r="E866" t="s">
        <v>791</v>
      </c>
      <c r="F866">
        <v>37.72</v>
      </c>
      <c r="G866" t="s">
        <v>93</v>
      </c>
      <c r="H866" s="2">
        <v>45467</v>
      </c>
    </row>
    <row r="867" spans="1:8" x14ac:dyDescent="0.25">
      <c r="A867" t="s">
        <v>1206</v>
      </c>
      <c r="B867" s="1">
        <v>0.34680837962962963</v>
      </c>
      <c r="C867" t="s">
        <v>9</v>
      </c>
      <c r="D867" t="s">
        <v>10</v>
      </c>
      <c r="E867" t="s">
        <v>1207</v>
      </c>
      <c r="F867">
        <v>37.72</v>
      </c>
      <c r="G867" t="s">
        <v>12</v>
      </c>
      <c r="H867" s="2">
        <v>45468</v>
      </c>
    </row>
    <row r="868" spans="1:8" x14ac:dyDescent="0.25">
      <c r="A868" t="s">
        <v>1208</v>
      </c>
      <c r="B868" s="1">
        <v>0.43641675925925927</v>
      </c>
      <c r="C868" t="s">
        <v>9</v>
      </c>
      <c r="D868" t="s">
        <v>10</v>
      </c>
      <c r="E868" t="s">
        <v>43</v>
      </c>
      <c r="F868">
        <v>32.82</v>
      </c>
      <c r="G868" t="s">
        <v>25</v>
      </c>
      <c r="H868" s="2">
        <v>45468</v>
      </c>
    </row>
    <row r="869" spans="1:8" x14ac:dyDescent="0.25">
      <c r="A869" t="s">
        <v>1209</v>
      </c>
      <c r="B869" s="1">
        <v>0.43729641203703706</v>
      </c>
      <c r="C869" t="s">
        <v>9</v>
      </c>
      <c r="D869" t="s">
        <v>10</v>
      </c>
      <c r="E869" t="s">
        <v>124</v>
      </c>
      <c r="F869">
        <v>32.82</v>
      </c>
      <c r="G869" t="s">
        <v>25</v>
      </c>
      <c r="H869" s="2">
        <v>45468</v>
      </c>
    </row>
    <row r="870" spans="1:8" x14ac:dyDescent="0.25">
      <c r="A870" t="s">
        <v>1210</v>
      </c>
      <c r="B870" s="1">
        <v>0.4825497222222222</v>
      </c>
      <c r="C870" t="s">
        <v>9</v>
      </c>
      <c r="D870" t="s">
        <v>10</v>
      </c>
      <c r="E870" t="s">
        <v>791</v>
      </c>
      <c r="F870">
        <v>37.72</v>
      </c>
      <c r="G870" t="s">
        <v>93</v>
      </c>
      <c r="H870" s="2">
        <v>45468</v>
      </c>
    </row>
    <row r="871" spans="1:8" x14ac:dyDescent="0.25">
      <c r="A871" t="s">
        <v>1211</v>
      </c>
      <c r="B871" s="1">
        <v>0.39793641203703706</v>
      </c>
      <c r="C871" t="s">
        <v>9</v>
      </c>
      <c r="D871" t="s">
        <v>10</v>
      </c>
      <c r="E871" t="s">
        <v>1212</v>
      </c>
      <c r="F871">
        <v>37.72</v>
      </c>
      <c r="G871" t="s">
        <v>12</v>
      </c>
      <c r="H871" s="2">
        <v>45469</v>
      </c>
    </row>
    <row r="872" spans="1:8" x14ac:dyDescent="0.25">
      <c r="A872" t="s">
        <v>1213</v>
      </c>
      <c r="B872" s="1">
        <v>0.68922978009259261</v>
      </c>
      <c r="C872" t="s">
        <v>14</v>
      </c>
      <c r="D872" t="s">
        <v>10</v>
      </c>
      <c r="E872" t="s">
        <v>1214</v>
      </c>
      <c r="F872">
        <v>23.02</v>
      </c>
      <c r="G872" t="s">
        <v>72</v>
      </c>
      <c r="H872" s="2">
        <v>45469</v>
      </c>
    </row>
    <row r="873" spans="1:8" x14ac:dyDescent="0.25">
      <c r="A873" t="s">
        <v>1215</v>
      </c>
      <c r="B873" s="1">
        <v>0.69029637731481486</v>
      </c>
      <c r="C873" t="s">
        <v>14</v>
      </c>
      <c r="D873" t="s">
        <v>10</v>
      </c>
      <c r="E873" t="s">
        <v>1216</v>
      </c>
      <c r="F873">
        <v>27.92</v>
      </c>
      <c r="G873" t="s">
        <v>20</v>
      </c>
      <c r="H873" s="2">
        <v>45469</v>
      </c>
    </row>
    <row r="874" spans="1:8" x14ac:dyDescent="0.25">
      <c r="A874" t="s">
        <v>1217</v>
      </c>
      <c r="B874" s="1">
        <v>0.89020018518518518</v>
      </c>
      <c r="C874" t="s">
        <v>14</v>
      </c>
      <c r="D874" t="s">
        <v>10</v>
      </c>
      <c r="E874" t="s">
        <v>35</v>
      </c>
      <c r="F874">
        <v>37.72</v>
      </c>
      <c r="G874" t="s">
        <v>12</v>
      </c>
      <c r="H874" s="2">
        <v>45469</v>
      </c>
    </row>
    <row r="875" spans="1:8" x14ac:dyDescent="0.25">
      <c r="A875" t="s">
        <v>1218</v>
      </c>
      <c r="B875" s="1">
        <v>0.89375934027777781</v>
      </c>
      <c r="C875" t="s">
        <v>14</v>
      </c>
      <c r="D875" t="s">
        <v>10</v>
      </c>
      <c r="E875" t="s">
        <v>35</v>
      </c>
      <c r="F875">
        <v>37.72</v>
      </c>
      <c r="G875" t="s">
        <v>93</v>
      </c>
      <c r="H875" s="2">
        <v>45469</v>
      </c>
    </row>
    <row r="876" spans="1:8" x14ac:dyDescent="0.25">
      <c r="A876" t="s">
        <v>1219</v>
      </c>
      <c r="B876" s="1">
        <v>0.89461303240740742</v>
      </c>
      <c r="C876" t="s">
        <v>14</v>
      </c>
      <c r="D876" t="s">
        <v>10</v>
      </c>
      <c r="E876" t="s">
        <v>802</v>
      </c>
      <c r="F876">
        <v>32.82</v>
      </c>
      <c r="G876" t="s">
        <v>25</v>
      </c>
      <c r="H876" s="2">
        <v>45469</v>
      </c>
    </row>
    <row r="877" spans="1:8" x14ac:dyDescent="0.25">
      <c r="A877" t="s">
        <v>1220</v>
      </c>
      <c r="B877" s="1">
        <v>0.38591635416666664</v>
      </c>
      <c r="C877" t="s">
        <v>9</v>
      </c>
      <c r="D877" t="s">
        <v>10</v>
      </c>
      <c r="E877" t="s">
        <v>1221</v>
      </c>
      <c r="F877">
        <v>32.82</v>
      </c>
      <c r="G877" t="s">
        <v>25</v>
      </c>
      <c r="H877" s="2">
        <v>45470</v>
      </c>
    </row>
    <row r="878" spans="1:8" x14ac:dyDescent="0.25">
      <c r="A878" t="s">
        <v>1222</v>
      </c>
      <c r="B878" s="1">
        <v>0.67486111111111113</v>
      </c>
      <c r="C878" t="s">
        <v>14</v>
      </c>
      <c r="D878" t="s">
        <v>10</v>
      </c>
      <c r="E878" t="s">
        <v>1223</v>
      </c>
      <c r="F878">
        <v>27.92</v>
      </c>
      <c r="G878" t="s">
        <v>54</v>
      </c>
      <c r="H878" s="2">
        <v>45470</v>
      </c>
    </row>
    <row r="879" spans="1:8" x14ac:dyDescent="0.25">
      <c r="A879" t="s">
        <v>1224</v>
      </c>
      <c r="B879" s="1">
        <v>0.90559458333333331</v>
      </c>
      <c r="C879" t="s">
        <v>14</v>
      </c>
      <c r="D879" t="s">
        <v>10</v>
      </c>
      <c r="E879" t="s">
        <v>1225</v>
      </c>
      <c r="F879">
        <v>32.82</v>
      </c>
      <c r="G879" t="s">
        <v>25</v>
      </c>
      <c r="H879" s="2">
        <v>45470</v>
      </c>
    </row>
    <row r="880" spans="1:8" x14ac:dyDescent="0.25">
      <c r="A880" t="s">
        <v>1226</v>
      </c>
      <c r="B880" s="1">
        <v>0.91008815972222223</v>
      </c>
      <c r="C880" t="s">
        <v>14</v>
      </c>
      <c r="D880" t="s">
        <v>10</v>
      </c>
      <c r="E880" t="s">
        <v>1227</v>
      </c>
      <c r="F880">
        <v>37.72</v>
      </c>
      <c r="G880" t="s">
        <v>93</v>
      </c>
      <c r="H880" s="2">
        <v>45470</v>
      </c>
    </row>
    <row r="881" spans="1:8" x14ac:dyDescent="0.25">
      <c r="A881" t="s">
        <v>1228</v>
      </c>
      <c r="B881" s="1">
        <v>0.33929449074074075</v>
      </c>
      <c r="C881" t="s">
        <v>9</v>
      </c>
      <c r="D881" t="s">
        <v>10</v>
      </c>
      <c r="E881" t="s">
        <v>547</v>
      </c>
      <c r="F881">
        <v>27.92</v>
      </c>
      <c r="G881" t="s">
        <v>54</v>
      </c>
      <c r="H881" s="2">
        <v>45471</v>
      </c>
    </row>
    <row r="882" spans="1:8" x14ac:dyDescent="0.25">
      <c r="A882" t="s">
        <v>1229</v>
      </c>
      <c r="B882" s="1">
        <v>0.74437491898148145</v>
      </c>
      <c r="C882" t="s">
        <v>14</v>
      </c>
      <c r="D882" t="s">
        <v>10</v>
      </c>
      <c r="E882" t="s">
        <v>1034</v>
      </c>
      <c r="F882">
        <v>23.02</v>
      </c>
      <c r="G882" t="s">
        <v>72</v>
      </c>
      <c r="H882" s="2">
        <v>45471</v>
      </c>
    </row>
    <row r="883" spans="1:8" x14ac:dyDescent="0.25">
      <c r="A883" t="s">
        <v>1230</v>
      </c>
      <c r="B883" s="1">
        <v>0.91036313657407408</v>
      </c>
      <c r="C883" t="s">
        <v>14</v>
      </c>
      <c r="D883" t="s">
        <v>10</v>
      </c>
      <c r="E883" t="s">
        <v>1231</v>
      </c>
      <c r="F883">
        <v>32.82</v>
      </c>
      <c r="G883" t="s">
        <v>25</v>
      </c>
      <c r="H883" s="2">
        <v>45471</v>
      </c>
    </row>
    <row r="884" spans="1:8" x14ac:dyDescent="0.25">
      <c r="A884" t="s">
        <v>1232</v>
      </c>
      <c r="B884" s="1">
        <v>0.91113271990740741</v>
      </c>
      <c r="C884" t="s">
        <v>14</v>
      </c>
      <c r="D884" t="s">
        <v>10</v>
      </c>
      <c r="E884" t="s">
        <v>1233</v>
      </c>
      <c r="F884">
        <v>37.72</v>
      </c>
      <c r="G884" t="s">
        <v>12</v>
      </c>
      <c r="H884" s="2">
        <v>45471</v>
      </c>
    </row>
    <row r="885" spans="1:8" x14ac:dyDescent="0.25">
      <c r="A885" t="s">
        <v>1234</v>
      </c>
      <c r="B885" s="1">
        <v>0.93634231481481478</v>
      </c>
      <c r="C885" t="s">
        <v>14</v>
      </c>
      <c r="D885" t="s">
        <v>10</v>
      </c>
      <c r="E885" t="s">
        <v>1235</v>
      </c>
      <c r="F885">
        <v>37.72</v>
      </c>
      <c r="G885" t="s">
        <v>93</v>
      </c>
      <c r="H885" s="2">
        <v>45471</v>
      </c>
    </row>
    <row r="886" spans="1:8" x14ac:dyDescent="0.25">
      <c r="A886" t="s">
        <v>1236</v>
      </c>
      <c r="B886" s="1">
        <v>0.40775814814814815</v>
      </c>
      <c r="C886" t="s">
        <v>9</v>
      </c>
      <c r="D886" t="s">
        <v>10</v>
      </c>
      <c r="E886" t="s">
        <v>346</v>
      </c>
      <c r="F886">
        <v>32.82</v>
      </c>
      <c r="G886" t="s">
        <v>25</v>
      </c>
      <c r="H886" s="2">
        <v>45472</v>
      </c>
    </row>
    <row r="887" spans="1:8" x14ac:dyDescent="0.25">
      <c r="A887" t="s">
        <v>1237</v>
      </c>
      <c r="B887" s="1">
        <v>0.48633775462962964</v>
      </c>
      <c r="C887" t="s">
        <v>9</v>
      </c>
      <c r="D887" t="s">
        <v>10</v>
      </c>
      <c r="E887" t="s">
        <v>1238</v>
      </c>
      <c r="F887">
        <v>32.82</v>
      </c>
      <c r="G887" t="s">
        <v>25</v>
      </c>
      <c r="H887" s="2">
        <v>45472</v>
      </c>
    </row>
    <row r="888" spans="1:8" x14ac:dyDescent="0.25">
      <c r="A888" t="s">
        <v>1239</v>
      </c>
      <c r="B888" s="1">
        <v>0.48711353009259262</v>
      </c>
      <c r="C888" t="s">
        <v>9</v>
      </c>
      <c r="D888" t="s">
        <v>10</v>
      </c>
      <c r="E888" t="s">
        <v>1238</v>
      </c>
      <c r="F888">
        <v>32.82</v>
      </c>
      <c r="G888" t="s">
        <v>25</v>
      </c>
      <c r="H888" s="2">
        <v>45472</v>
      </c>
    </row>
    <row r="889" spans="1:8" x14ac:dyDescent="0.25">
      <c r="A889" t="s">
        <v>1240</v>
      </c>
      <c r="B889" s="1">
        <v>0.5211152546296296</v>
      </c>
      <c r="C889" t="s">
        <v>14</v>
      </c>
      <c r="D889" t="s">
        <v>10</v>
      </c>
      <c r="E889" t="s">
        <v>1241</v>
      </c>
      <c r="F889">
        <v>37.72</v>
      </c>
      <c r="G889" t="s">
        <v>93</v>
      </c>
      <c r="H889" s="2">
        <v>45472</v>
      </c>
    </row>
    <row r="890" spans="1:8" x14ac:dyDescent="0.25">
      <c r="A890" t="s">
        <v>1242</v>
      </c>
      <c r="B890" s="1">
        <v>0.52202062500000002</v>
      </c>
      <c r="C890" t="s">
        <v>14</v>
      </c>
      <c r="D890" t="s">
        <v>10</v>
      </c>
      <c r="E890" t="s">
        <v>1241</v>
      </c>
      <c r="F890">
        <v>37.72</v>
      </c>
      <c r="G890" t="s">
        <v>93</v>
      </c>
      <c r="H890" s="2">
        <v>45472</v>
      </c>
    </row>
    <row r="891" spans="1:8" x14ac:dyDescent="0.25">
      <c r="A891" t="s">
        <v>1243</v>
      </c>
      <c r="B891" s="1">
        <v>0.72480998842592592</v>
      </c>
      <c r="C891" t="s">
        <v>14</v>
      </c>
      <c r="D891" t="s">
        <v>10</v>
      </c>
      <c r="E891" t="s">
        <v>1244</v>
      </c>
      <c r="F891">
        <v>37.72</v>
      </c>
      <c r="G891" t="s">
        <v>93</v>
      </c>
      <c r="H891" s="2">
        <v>45472</v>
      </c>
    </row>
    <row r="892" spans="1:8" x14ac:dyDescent="0.25">
      <c r="A892" t="s">
        <v>1245</v>
      </c>
      <c r="B892" s="1">
        <v>0.7256062152777778</v>
      </c>
      <c r="C892" t="s">
        <v>14</v>
      </c>
      <c r="D892" t="s">
        <v>10</v>
      </c>
      <c r="E892" t="s">
        <v>1244</v>
      </c>
      <c r="F892">
        <v>37.72</v>
      </c>
      <c r="G892" t="s">
        <v>16</v>
      </c>
      <c r="H892" s="2">
        <v>45472</v>
      </c>
    </row>
    <row r="893" spans="1:8" x14ac:dyDescent="0.25">
      <c r="A893" t="s">
        <v>1246</v>
      </c>
      <c r="B893" s="1">
        <v>0.89400982638888893</v>
      </c>
      <c r="C893" t="s">
        <v>14</v>
      </c>
      <c r="D893" t="s">
        <v>10</v>
      </c>
      <c r="E893" t="s">
        <v>35</v>
      </c>
      <c r="F893">
        <v>37.72</v>
      </c>
      <c r="G893" t="s">
        <v>12</v>
      </c>
      <c r="H893" s="2">
        <v>45472</v>
      </c>
    </row>
    <row r="894" spans="1:8" x14ac:dyDescent="0.25">
      <c r="A894" t="s">
        <v>1247</v>
      </c>
      <c r="B894" s="1">
        <v>0.43622502314814815</v>
      </c>
      <c r="C894" t="s">
        <v>9</v>
      </c>
      <c r="D894" t="s">
        <v>10</v>
      </c>
      <c r="E894" t="s">
        <v>1248</v>
      </c>
      <c r="F894">
        <v>37.72</v>
      </c>
      <c r="G894" t="s">
        <v>12</v>
      </c>
      <c r="H894" s="2">
        <v>45473</v>
      </c>
    </row>
    <row r="895" spans="1:8" x14ac:dyDescent="0.25">
      <c r="A895" t="s">
        <v>1249</v>
      </c>
      <c r="B895" s="1">
        <v>0.54572476851851848</v>
      </c>
      <c r="C895" t="s">
        <v>14</v>
      </c>
      <c r="D895" t="s">
        <v>10</v>
      </c>
      <c r="E895" t="s">
        <v>1250</v>
      </c>
      <c r="F895">
        <v>23.02</v>
      </c>
      <c r="G895" t="s">
        <v>72</v>
      </c>
      <c r="H895" s="2">
        <v>45473</v>
      </c>
    </row>
    <row r="896" spans="1:8" x14ac:dyDescent="0.25">
      <c r="A896" t="s">
        <v>1251</v>
      </c>
      <c r="B896" s="1">
        <v>0.70464906250000003</v>
      </c>
      <c r="C896" t="s">
        <v>14</v>
      </c>
      <c r="D896" t="s">
        <v>10</v>
      </c>
      <c r="E896" t="s">
        <v>35</v>
      </c>
      <c r="F896">
        <v>37.72</v>
      </c>
      <c r="G896" t="s">
        <v>16</v>
      </c>
      <c r="H896" s="2">
        <v>45473</v>
      </c>
    </row>
    <row r="897" spans="1:8" x14ac:dyDescent="0.25">
      <c r="A897" t="s">
        <v>1252</v>
      </c>
      <c r="B897" s="1">
        <v>0.87789057870370368</v>
      </c>
      <c r="C897" t="s">
        <v>14</v>
      </c>
      <c r="D897" t="s">
        <v>10</v>
      </c>
      <c r="E897" t="s">
        <v>346</v>
      </c>
      <c r="F897">
        <v>32.82</v>
      </c>
      <c r="G897" t="s">
        <v>25</v>
      </c>
      <c r="H897" s="2">
        <v>45473</v>
      </c>
    </row>
    <row r="898" spans="1:8" x14ac:dyDescent="0.25">
      <c r="A898" t="s">
        <v>1253</v>
      </c>
      <c r="B898" s="1">
        <v>0.75517083333333335</v>
      </c>
      <c r="C898" t="s">
        <v>14</v>
      </c>
      <c r="D898" t="s">
        <v>10</v>
      </c>
      <c r="E898" t="s">
        <v>43</v>
      </c>
      <c r="F898">
        <v>23.02</v>
      </c>
      <c r="G898" t="s">
        <v>72</v>
      </c>
      <c r="H898" s="2">
        <v>45474</v>
      </c>
    </row>
    <row r="899" spans="1:8" x14ac:dyDescent="0.25">
      <c r="A899" t="s">
        <v>1254</v>
      </c>
      <c r="B899" s="1">
        <v>0.78948893518518515</v>
      </c>
      <c r="C899" t="s">
        <v>14</v>
      </c>
      <c r="D899" t="s">
        <v>10</v>
      </c>
      <c r="E899" t="s">
        <v>1255</v>
      </c>
      <c r="F899">
        <v>37.72</v>
      </c>
      <c r="G899" t="s">
        <v>93</v>
      </c>
      <c r="H899" s="2">
        <v>45474</v>
      </c>
    </row>
    <row r="900" spans="1:8" x14ac:dyDescent="0.25">
      <c r="A900" t="s">
        <v>1256</v>
      </c>
      <c r="B900" s="1">
        <v>0.79021142361111107</v>
      </c>
      <c r="C900" t="s">
        <v>14</v>
      </c>
      <c r="D900" t="s">
        <v>10</v>
      </c>
      <c r="E900" t="s">
        <v>1257</v>
      </c>
      <c r="F900">
        <v>37.72</v>
      </c>
      <c r="G900" t="s">
        <v>93</v>
      </c>
      <c r="H900" s="2">
        <v>45474</v>
      </c>
    </row>
    <row r="901" spans="1:8" x14ac:dyDescent="0.25">
      <c r="A901" t="s">
        <v>1258</v>
      </c>
      <c r="B901" s="1">
        <v>0.44645899305555553</v>
      </c>
      <c r="C901" t="s">
        <v>9</v>
      </c>
      <c r="D901" t="s">
        <v>10</v>
      </c>
      <c r="E901" t="s">
        <v>1121</v>
      </c>
      <c r="F901">
        <v>32.82</v>
      </c>
      <c r="G901" t="s">
        <v>25</v>
      </c>
      <c r="H901" s="2">
        <v>45475</v>
      </c>
    </row>
    <row r="902" spans="1:8" x14ac:dyDescent="0.25">
      <c r="A902" t="s">
        <v>1259</v>
      </c>
      <c r="B902" s="1">
        <v>0.44792380787037039</v>
      </c>
      <c r="C902" t="s">
        <v>9</v>
      </c>
      <c r="D902" t="s">
        <v>10</v>
      </c>
      <c r="E902" t="s">
        <v>1121</v>
      </c>
      <c r="F902">
        <v>27.92</v>
      </c>
      <c r="G902" t="s">
        <v>20</v>
      </c>
      <c r="H902" s="2">
        <v>45475</v>
      </c>
    </row>
    <row r="903" spans="1:8" x14ac:dyDescent="0.25">
      <c r="A903" t="s">
        <v>1260</v>
      </c>
      <c r="B903" s="1">
        <v>0.53339329861111107</v>
      </c>
      <c r="C903" t="s">
        <v>14</v>
      </c>
      <c r="D903" t="s">
        <v>10</v>
      </c>
      <c r="E903" t="s">
        <v>61</v>
      </c>
      <c r="F903">
        <v>37.72</v>
      </c>
      <c r="G903" t="s">
        <v>12</v>
      </c>
      <c r="H903" s="2">
        <v>45475</v>
      </c>
    </row>
    <row r="904" spans="1:8" x14ac:dyDescent="0.25">
      <c r="A904" t="s">
        <v>1261</v>
      </c>
      <c r="B904" s="1">
        <v>0.5855698032407407</v>
      </c>
      <c r="C904" t="s">
        <v>14</v>
      </c>
      <c r="D904" t="s">
        <v>10</v>
      </c>
      <c r="E904" t="s">
        <v>1262</v>
      </c>
      <c r="F904">
        <v>27.92</v>
      </c>
      <c r="G904" t="s">
        <v>20</v>
      </c>
      <c r="H904" s="2">
        <v>45475</v>
      </c>
    </row>
    <row r="905" spans="1:8" x14ac:dyDescent="0.25">
      <c r="A905" t="s">
        <v>1263</v>
      </c>
      <c r="B905" s="1">
        <v>0.68847612268518521</v>
      </c>
      <c r="C905" t="s">
        <v>14</v>
      </c>
      <c r="D905" t="s">
        <v>10</v>
      </c>
      <c r="E905" t="s">
        <v>1264</v>
      </c>
      <c r="F905">
        <v>32.82</v>
      </c>
      <c r="G905" t="s">
        <v>25</v>
      </c>
      <c r="H905" s="2">
        <v>45475</v>
      </c>
    </row>
    <row r="906" spans="1:8" x14ac:dyDescent="0.25">
      <c r="A906" t="s">
        <v>1265</v>
      </c>
      <c r="B906" s="1">
        <v>0.9183284259259259</v>
      </c>
      <c r="C906" t="s">
        <v>14</v>
      </c>
      <c r="D906" t="s">
        <v>10</v>
      </c>
      <c r="E906" t="s">
        <v>1227</v>
      </c>
      <c r="F906">
        <v>32.82</v>
      </c>
      <c r="G906" t="s">
        <v>25</v>
      </c>
      <c r="H906" s="2">
        <v>45475</v>
      </c>
    </row>
    <row r="907" spans="1:8" x14ac:dyDescent="0.25">
      <c r="A907" t="s">
        <v>1266</v>
      </c>
      <c r="B907" s="1">
        <v>0.57725619212962964</v>
      </c>
      <c r="C907" t="s">
        <v>14</v>
      </c>
      <c r="D907" t="s">
        <v>10</v>
      </c>
      <c r="E907" t="s">
        <v>43</v>
      </c>
      <c r="F907">
        <v>32.82</v>
      </c>
      <c r="G907" t="s">
        <v>25</v>
      </c>
      <c r="H907" s="2">
        <v>45476</v>
      </c>
    </row>
    <row r="908" spans="1:8" x14ac:dyDescent="0.25">
      <c r="A908" t="s">
        <v>1267</v>
      </c>
      <c r="B908" s="1">
        <v>0.66755270833333336</v>
      </c>
      <c r="C908" t="s">
        <v>14</v>
      </c>
      <c r="D908" t="s">
        <v>10</v>
      </c>
      <c r="E908" t="s">
        <v>1268</v>
      </c>
      <c r="F908">
        <v>37.72</v>
      </c>
      <c r="G908" t="s">
        <v>93</v>
      </c>
      <c r="H908" s="2">
        <v>45476</v>
      </c>
    </row>
    <row r="909" spans="1:8" x14ac:dyDescent="0.25">
      <c r="A909" t="s">
        <v>1269</v>
      </c>
      <c r="B909" s="1">
        <v>0.70168082175925928</v>
      </c>
      <c r="C909" t="s">
        <v>14</v>
      </c>
      <c r="D909" t="s">
        <v>10</v>
      </c>
      <c r="E909" t="s">
        <v>1270</v>
      </c>
      <c r="F909">
        <v>37.72</v>
      </c>
      <c r="G909" t="s">
        <v>93</v>
      </c>
      <c r="H909" s="2">
        <v>45476</v>
      </c>
    </row>
    <row r="910" spans="1:8" x14ac:dyDescent="0.25">
      <c r="A910" t="s">
        <v>1271</v>
      </c>
      <c r="B910" s="1">
        <v>0.70365298611111116</v>
      </c>
      <c r="C910" t="s">
        <v>14</v>
      </c>
      <c r="D910" t="s">
        <v>10</v>
      </c>
      <c r="E910" t="s">
        <v>1020</v>
      </c>
      <c r="F910">
        <v>32.82</v>
      </c>
      <c r="G910" t="s">
        <v>25</v>
      </c>
      <c r="H910" s="2">
        <v>45476</v>
      </c>
    </row>
    <row r="911" spans="1:8" x14ac:dyDescent="0.25">
      <c r="A911" t="s">
        <v>1272</v>
      </c>
      <c r="B911" s="1">
        <v>0.70443179398148148</v>
      </c>
      <c r="C911" t="s">
        <v>14</v>
      </c>
      <c r="D911" t="s">
        <v>10</v>
      </c>
      <c r="E911" t="s">
        <v>1273</v>
      </c>
      <c r="F911">
        <v>32.82</v>
      </c>
      <c r="G911" t="s">
        <v>25</v>
      </c>
      <c r="H911" s="2">
        <v>45476</v>
      </c>
    </row>
    <row r="912" spans="1:8" x14ac:dyDescent="0.25">
      <c r="A912" t="s">
        <v>1274</v>
      </c>
      <c r="B912" s="1">
        <v>0.70522480324074077</v>
      </c>
      <c r="C912" t="s">
        <v>14</v>
      </c>
      <c r="D912" t="s">
        <v>10</v>
      </c>
      <c r="E912" t="s">
        <v>1020</v>
      </c>
      <c r="F912">
        <v>37.72</v>
      </c>
      <c r="G912" t="s">
        <v>12</v>
      </c>
      <c r="H912" s="2">
        <v>45476</v>
      </c>
    </row>
    <row r="913" spans="1:8" x14ac:dyDescent="0.25">
      <c r="A913" t="s">
        <v>1275</v>
      </c>
      <c r="B913" s="1">
        <v>0.70793495370370374</v>
      </c>
      <c r="C913" t="s">
        <v>14</v>
      </c>
      <c r="D913" t="s">
        <v>10</v>
      </c>
      <c r="E913" t="s">
        <v>1276</v>
      </c>
      <c r="F913">
        <v>23.02</v>
      </c>
      <c r="G913" t="s">
        <v>72</v>
      </c>
      <c r="H913" s="2">
        <v>45476</v>
      </c>
    </row>
    <row r="914" spans="1:8" x14ac:dyDescent="0.25">
      <c r="A914" t="s">
        <v>1277</v>
      </c>
      <c r="B914" s="1">
        <v>0.7493267013888889</v>
      </c>
      <c r="C914" t="s">
        <v>14</v>
      </c>
      <c r="D914" t="s">
        <v>10</v>
      </c>
      <c r="E914" t="s">
        <v>1278</v>
      </c>
      <c r="F914">
        <v>37.72</v>
      </c>
      <c r="G914" t="s">
        <v>93</v>
      </c>
      <c r="H914" s="2">
        <v>45476</v>
      </c>
    </row>
    <row r="915" spans="1:8" x14ac:dyDescent="0.25">
      <c r="A915" t="s">
        <v>1279</v>
      </c>
      <c r="B915" s="1">
        <v>0.79593907407407405</v>
      </c>
      <c r="C915" t="s">
        <v>14</v>
      </c>
      <c r="D915" t="s">
        <v>10</v>
      </c>
      <c r="E915" t="s">
        <v>35</v>
      </c>
      <c r="F915">
        <v>37.72</v>
      </c>
      <c r="G915" t="s">
        <v>12</v>
      </c>
      <c r="H915" s="2">
        <v>45476</v>
      </c>
    </row>
    <row r="916" spans="1:8" x14ac:dyDescent="0.25">
      <c r="A916" t="s">
        <v>1280</v>
      </c>
      <c r="B916" s="1">
        <v>0.43499681712962962</v>
      </c>
      <c r="C916" t="s">
        <v>9</v>
      </c>
      <c r="D916" t="s">
        <v>10</v>
      </c>
      <c r="E916" t="s">
        <v>565</v>
      </c>
      <c r="F916">
        <v>32.82</v>
      </c>
      <c r="G916" t="s">
        <v>25</v>
      </c>
      <c r="H916" s="2">
        <v>45477</v>
      </c>
    </row>
    <row r="917" spans="1:8" x14ac:dyDescent="0.25">
      <c r="A917" t="s">
        <v>1281</v>
      </c>
      <c r="B917" s="1">
        <v>0.43576690972222221</v>
      </c>
      <c r="C917" t="s">
        <v>9</v>
      </c>
      <c r="D917" t="s">
        <v>10</v>
      </c>
      <c r="E917" t="s">
        <v>43</v>
      </c>
      <c r="F917">
        <v>27.92</v>
      </c>
      <c r="G917" t="s">
        <v>20</v>
      </c>
      <c r="H917" s="2">
        <v>45477</v>
      </c>
    </row>
    <row r="918" spans="1:8" x14ac:dyDescent="0.25">
      <c r="A918" t="s">
        <v>1282</v>
      </c>
      <c r="B918" s="1">
        <v>0.51422071759259258</v>
      </c>
      <c r="C918" t="s">
        <v>14</v>
      </c>
      <c r="D918" t="s">
        <v>10</v>
      </c>
      <c r="E918" t="s">
        <v>190</v>
      </c>
      <c r="F918">
        <v>37.72</v>
      </c>
      <c r="G918" t="s">
        <v>32</v>
      </c>
      <c r="H918" s="2">
        <v>45478</v>
      </c>
    </row>
    <row r="919" spans="1:8" x14ac:dyDescent="0.25">
      <c r="A919" t="s">
        <v>1283</v>
      </c>
      <c r="B919" s="1">
        <v>0.57202701388888888</v>
      </c>
      <c r="C919" t="s">
        <v>14</v>
      </c>
      <c r="D919" t="s">
        <v>10</v>
      </c>
      <c r="E919" t="s">
        <v>124</v>
      </c>
      <c r="F919">
        <v>32.82</v>
      </c>
      <c r="G919" t="s">
        <v>25</v>
      </c>
      <c r="H919" s="2">
        <v>45478</v>
      </c>
    </row>
    <row r="920" spans="1:8" x14ac:dyDescent="0.25">
      <c r="A920" t="s">
        <v>1284</v>
      </c>
      <c r="B920" s="1">
        <v>0.57272950231481479</v>
      </c>
      <c r="C920" t="s">
        <v>14</v>
      </c>
      <c r="D920" t="s">
        <v>10</v>
      </c>
      <c r="E920" t="s">
        <v>1285</v>
      </c>
      <c r="F920">
        <v>32.82</v>
      </c>
      <c r="G920" t="s">
        <v>25</v>
      </c>
      <c r="H920" s="2">
        <v>45478</v>
      </c>
    </row>
    <row r="921" spans="1:8" x14ac:dyDescent="0.25">
      <c r="A921" t="s">
        <v>1286</v>
      </c>
      <c r="B921" s="1">
        <v>0.78884615740740738</v>
      </c>
      <c r="C921" t="s">
        <v>14</v>
      </c>
      <c r="D921" t="s">
        <v>10</v>
      </c>
      <c r="E921" t="s">
        <v>1287</v>
      </c>
      <c r="F921">
        <v>23.02</v>
      </c>
      <c r="G921" t="s">
        <v>72</v>
      </c>
      <c r="H921" s="2">
        <v>45478</v>
      </c>
    </row>
    <row r="922" spans="1:8" x14ac:dyDescent="0.25">
      <c r="A922" t="s">
        <v>1288</v>
      </c>
      <c r="B922" s="1">
        <v>0.82995152777777781</v>
      </c>
      <c r="C922" t="s">
        <v>14</v>
      </c>
      <c r="D922" t="s">
        <v>10</v>
      </c>
      <c r="E922" t="s">
        <v>356</v>
      </c>
      <c r="F922">
        <v>27.92</v>
      </c>
      <c r="G922" t="s">
        <v>20</v>
      </c>
      <c r="H922" s="2">
        <v>45478</v>
      </c>
    </row>
    <row r="923" spans="1:8" x14ac:dyDescent="0.25">
      <c r="A923" t="s">
        <v>1289</v>
      </c>
      <c r="B923" s="1">
        <v>0.92495915509259263</v>
      </c>
      <c r="C923" t="s">
        <v>14</v>
      </c>
      <c r="D923" t="s">
        <v>10</v>
      </c>
      <c r="E923" t="s">
        <v>1290</v>
      </c>
      <c r="F923">
        <v>23.02</v>
      </c>
      <c r="G923" t="s">
        <v>72</v>
      </c>
      <c r="H923" s="2">
        <v>45478</v>
      </c>
    </row>
    <row r="924" spans="1:8" x14ac:dyDescent="0.25">
      <c r="A924" t="s">
        <v>1291</v>
      </c>
      <c r="B924" s="1">
        <v>0.92920513888888889</v>
      </c>
      <c r="C924" t="s">
        <v>14</v>
      </c>
      <c r="D924" t="s">
        <v>10</v>
      </c>
      <c r="E924" t="s">
        <v>1292</v>
      </c>
      <c r="F924">
        <v>27.92</v>
      </c>
      <c r="G924" t="s">
        <v>20</v>
      </c>
      <c r="H924" s="2">
        <v>45478</v>
      </c>
    </row>
    <row r="925" spans="1:8" x14ac:dyDescent="0.25">
      <c r="A925" t="s">
        <v>1293</v>
      </c>
      <c r="B925" s="1">
        <v>0.92982575231481479</v>
      </c>
      <c r="C925" t="s">
        <v>14</v>
      </c>
      <c r="D925" t="s">
        <v>10</v>
      </c>
      <c r="E925" t="s">
        <v>1292</v>
      </c>
      <c r="F925">
        <v>27.92</v>
      </c>
      <c r="G925" t="s">
        <v>20</v>
      </c>
      <c r="H925" s="2">
        <v>45478</v>
      </c>
    </row>
    <row r="926" spans="1:8" x14ac:dyDescent="0.25">
      <c r="A926" t="s">
        <v>1294</v>
      </c>
      <c r="B926" s="1">
        <v>0.93056885416666668</v>
      </c>
      <c r="C926" t="s">
        <v>14</v>
      </c>
      <c r="D926" t="s">
        <v>10</v>
      </c>
      <c r="E926" t="s">
        <v>1295</v>
      </c>
      <c r="F926">
        <v>37.72</v>
      </c>
      <c r="G926" t="s">
        <v>93</v>
      </c>
      <c r="H926" s="2">
        <v>45478</v>
      </c>
    </row>
    <row r="927" spans="1:8" x14ac:dyDescent="0.25">
      <c r="A927" t="s">
        <v>1296</v>
      </c>
      <c r="B927" s="1">
        <v>0.93135945601851855</v>
      </c>
      <c r="C927" t="s">
        <v>14</v>
      </c>
      <c r="D927" t="s">
        <v>10</v>
      </c>
      <c r="E927" t="s">
        <v>1295</v>
      </c>
      <c r="F927">
        <v>32.82</v>
      </c>
      <c r="G927" t="s">
        <v>25</v>
      </c>
      <c r="H927" s="2">
        <v>45478</v>
      </c>
    </row>
    <row r="928" spans="1:8" x14ac:dyDescent="0.25">
      <c r="A928" t="s">
        <v>1297</v>
      </c>
      <c r="B928" s="1">
        <v>0.43619011574074074</v>
      </c>
      <c r="C928" t="s">
        <v>9</v>
      </c>
      <c r="D928" t="s">
        <v>10</v>
      </c>
      <c r="E928" t="s">
        <v>1298</v>
      </c>
      <c r="F928">
        <v>37.72</v>
      </c>
      <c r="G928" t="s">
        <v>12</v>
      </c>
      <c r="H928" s="2">
        <v>45479</v>
      </c>
    </row>
    <row r="929" spans="1:8" x14ac:dyDescent="0.25">
      <c r="A929" t="s">
        <v>1299</v>
      </c>
      <c r="B929" s="1">
        <v>0.71928289351851848</v>
      </c>
      <c r="C929" t="s">
        <v>14</v>
      </c>
      <c r="D929" t="s">
        <v>10</v>
      </c>
      <c r="E929" t="s">
        <v>35</v>
      </c>
      <c r="F929">
        <v>32.82</v>
      </c>
      <c r="G929" t="s">
        <v>12</v>
      </c>
      <c r="H929" s="2">
        <v>45479</v>
      </c>
    </row>
    <row r="930" spans="1:8" x14ac:dyDescent="0.25">
      <c r="A930" t="s">
        <v>1300</v>
      </c>
      <c r="B930" s="1">
        <v>0.72015099537037042</v>
      </c>
      <c r="C930" t="s">
        <v>14</v>
      </c>
      <c r="D930" t="s">
        <v>10</v>
      </c>
      <c r="E930" t="s">
        <v>35</v>
      </c>
      <c r="F930">
        <v>32.82</v>
      </c>
      <c r="G930" t="s">
        <v>12</v>
      </c>
      <c r="H930" s="2">
        <v>45479</v>
      </c>
    </row>
    <row r="931" spans="1:8" x14ac:dyDescent="0.25">
      <c r="A931" t="s">
        <v>1301</v>
      </c>
      <c r="B931" s="1">
        <v>0.79845031249999998</v>
      </c>
      <c r="C931" t="s">
        <v>14</v>
      </c>
      <c r="D931" t="s">
        <v>10</v>
      </c>
      <c r="E931" t="s">
        <v>43</v>
      </c>
      <c r="F931">
        <v>32.82</v>
      </c>
      <c r="G931" t="s">
        <v>12</v>
      </c>
      <c r="H931" s="2">
        <v>45479</v>
      </c>
    </row>
    <row r="932" spans="1:8" x14ac:dyDescent="0.25">
      <c r="A932" t="s">
        <v>1302</v>
      </c>
      <c r="B932" s="1">
        <v>0.79906921296296296</v>
      </c>
      <c r="C932" t="s">
        <v>14</v>
      </c>
      <c r="D932" t="s">
        <v>10</v>
      </c>
      <c r="E932" t="s">
        <v>43</v>
      </c>
      <c r="F932">
        <v>27.92</v>
      </c>
      <c r="G932" t="s">
        <v>25</v>
      </c>
      <c r="H932" s="2">
        <v>45479</v>
      </c>
    </row>
    <row r="933" spans="1:8" x14ac:dyDescent="0.25">
      <c r="A933" t="s">
        <v>1303</v>
      </c>
      <c r="B933" s="1">
        <v>0.37801121527777776</v>
      </c>
      <c r="C933" t="s">
        <v>9</v>
      </c>
      <c r="D933" t="s">
        <v>10</v>
      </c>
      <c r="E933" t="s">
        <v>1115</v>
      </c>
      <c r="F933">
        <v>32.82</v>
      </c>
      <c r="G933" t="s">
        <v>93</v>
      </c>
      <c r="H933" s="2">
        <v>45480</v>
      </c>
    </row>
    <row r="934" spans="1:8" x14ac:dyDescent="0.25">
      <c r="A934" t="s">
        <v>1304</v>
      </c>
      <c r="B934" s="1">
        <v>0.38506047453703701</v>
      </c>
      <c r="C934" t="s">
        <v>9</v>
      </c>
      <c r="D934" t="s">
        <v>10</v>
      </c>
      <c r="E934" t="s">
        <v>1305</v>
      </c>
      <c r="F934">
        <v>27.92</v>
      </c>
      <c r="G934" t="s">
        <v>25</v>
      </c>
      <c r="H934" s="2">
        <v>45480</v>
      </c>
    </row>
    <row r="935" spans="1:8" x14ac:dyDescent="0.25">
      <c r="A935" t="s">
        <v>1306</v>
      </c>
      <c r="B935" s="1">
        <v>0.38584276620370372</v>
      </c>
      <c r="C935" t="s">
        <v>9</v>
      </c>
      <c r="D935" t="s">
        <v>10</v>
      </c>
      <c r="E935" t="s">
        <v>1305</v>
      </c>
      <c r="F935">
        <v>27.92</v>
      </c>
      <c r="G935" t="s">
        <v>25</v>
      </c>
      <c r="H935" s="2">
        <v>45480</v>
      </c>
    </row>
    <row r="936" spans="1:8" x14ac:dyDescent="0.25">
      <c r="A936" t="s">
        <v>1307</v>
      </c>
      <c r="B936" s="1">
        <v>0.39501013888888886</v>
      </c>
      <c r="C936" t="s">
        <v>9</v>
      </c>
      <c r="D936" t="s">
        <v>10</v>
      </c>
      <c r="E936" t="s">
        <v>1308</v>
      </c>
      <c r="F936">
        <v>32.82</v>
      </c>
      <c r="G936" t="s">
        <v>93</v>
      </c>
      <c r="H936" s="2">
        <v>45480</v>
      </c>
    </row>
    <row r="937" spans="1:8" x14ac:dyDescent="0.25">
      <c r="A937" t="s">
        <v>1309</v>
      </c>
      <c r="B937" s="1">
        <v>0.39578922453703702</v>
      </c>
      <c r="C937" t="s">
        <v>9</v>
      </c>
      <c r="D937" t="s">
        <v>10</v>
      </c>
      <c r="E937" t="s">
        <v>1308</v>
      </c>
      <c r="F937">
        <v>32.82</v>
      </c>
      <c r="G937" t="s">
        <v>93</v>
      </c>
      <c r="H937" s="2">
        <v>45480</v>
      </c>
    </row>
    <row r="938" spans="1:8" x14ac:dyDescent="0.25">
      <c r="A938" t="s">
        <v>1310</v>
      </c>
      <c r="B938" s="1">
        <v>0.62257167824074078</v>
      </c>
      <c r="C938" t="s">
        <v>14</v>
      </c>
      <c r="D938" t="s">
        <v>10</v>
      </c>
      <c r="E938" t="s">
        <v>1311</v>
      </c>
      <c r="F938">
        <v>32.82</v>
      </c>
      <c r="G938" t="s">
        <v>16</v>
      </c>
      <c r="H938" s="2">
        <v>45480</v>
      </c>
    </row>
    <row r="939" spans="1:8" x14ac:dyDescent="0.25">
      <c r="A939" t="s">
        <v>1312</v>
      </c>
      <c r="B939" s="1">
        <v>0.62346540509259263</v>
      </c>
      <c r="C939" t="s">
        <v>14</v>
      </c>
      <c r="D939" t="s">
        <v>10</v>
      </c>
      <c r="E939" t="s">
        <v>1311</v>
      </c>
      <c r="F939">
        <v>32.82</v>
      </c>
      <c r="G939" t="s">
        <v>32</v>
      </c>
      <c r="H939" s="2">
        <v>45480</v>
      </c>
    </row>
    <row r="940" spans="1:8" x14ac:dyDescent="0.25">
      <c r="A940" t="s">
        <v>1313</v>
      </c>
      <c r="B940" s="1">
        <v>0.71377643518518519</v>
      </c>
      <c r="C940" t="s">
        <v>14</v>
      </c>
      <c r="D940" t="s">
        <v>10</v>
      </c>
      <c r="E940" t="s">
        <v>1314</v>
      </c>
      <c r="F940">
        <v>32.82</v>
      </c>
      <c r="G940" t="s">
        <v>12</v>
      </c>
      <c r="H940" s="2">
        <v>45480</v>
      </c>
    </row>
    <row r="941" spans="1:8" x14ac:dyDescent="0.25">
      <c r="A941" t="s">
        <v>1315</v>
      </c>
      <c r="B941" s="1">
        <v>0.81489799768518523</v>
      </c>
      <c r="C941" t="s">
        <v>14</v>
      </c>
      <c r="D941" t="s">
        <v>10</v>
      </c>
      <c r="E941" t="s">
        <v>1316</v>
      </c>
      <c r="F941">
        <v>32.82</v>
      </c>
      <c r="G941" t="s">
        <v>93</v>
      </c>
      <c r="H941" s="2">
        <v>45480</v>
      </c>
    </row>
    <row r="942" spans="1:8" x14ac:dyDescent="0.25">
      <c r="A942" t="s">
        <v>1317</v>
      </c>
      <c r="B942" s="1">
        <v>0.83439413194444445</v>
      </c>
      <c r="C942" t="s">
        <v>14</v>
      </c>
      <c r="D942" t="s">
        <v>10</v>
      </c>
      <c r="E942" t="s">
        <v>1318</v>
      </c>
      <c r="F942">
        <v>32.82</v>
      </c>
      <c r="G942" t="s">
        <v>16</v>
      </c>
      <c r="H942" s="2">
        <v>45480</v>
      </c>
    </row>
    <row r="943" spans="1:8" x14ac:dyDescent="0.25">
      <c r="A943" t="s">
        <v>1319</v>
      </c>
      <c r="B943" s="1">
        <v>0.9400029513888889</v>
      </c>
      <c r="C943" t="s">
        <v>14</v>
      </c>
      <c r="D943" t="s">
        <v>10</v>
      </c>
      <c r="E943" t="s">
        <v>1320</v>
      </c>
      <c r="F943">
        <v>27.92</v>
      </c>
      <c r="G943" t="s">
        <v>25</v>
      </c>
      <c r="H943" s="2">
        <v>45480</v>
      </c>
    </row>
    <row r="944" spans="1:8" x14ac:dyDescent="0.25">
      <c r="A944" t="s">
        <v>1321</v>
      </c>
      <c r="B944" s="1">
        <v>0.3146727314814815</v>
      </c>
      <c r="C944" t="s">
        <v>9</v>
      </c>
      <c r="D944" t="s">
        <v>10</v>
      </c>
      <c r="E944" t="s">
        <v>1322</v>
      </c>
      <c r="F944">
        <v>32.82</v>
      </c>
      <c r="G944" t="s">
        <v>12</v>
      </c>
      <c r="H944" s="2">
        <v>45481</v>
      </c>
    </row>
    <row r="945" spans="1:8" x14ac:dyDescent="0.25">
      <c r="A945" t="s">
        <v>1323</v>
      </c>
      <c r="B945" s="1">
        <v>0.50197246527777772</v>
      </c>
      <c r="C945" t="s">
        <v>14</v>
      </c>
      <c r="D945" t="s">
        <v>10</v>
      </c>
      <c r="E945" t="s">
        <v>1324</v>
      </c>
      <c r="F945">
        <v>23.02</v>
      </c>
      <c r="G945" t="s">
        <v>20</v>
      </c>
      <c r="H945" s="2">
        <v>45481</v>
      </c>
    </row>
    <row r="946" spans="1:8" x14ac:dyDescent="0.25">
      <c r="A946" t="s">
        <v>1325</v>
      </c>
      <c r="B946" s="1">
        <v>0.6113929398148148</v>
      </c>
      <c r="C946" t="s">
        <v>14</v>
      </c>
      <c r="D946" t="s">
        <v>10</v>
      </c>
      <c r="E946" t="s">
        <v>1326</v>
      </c>
      <c r="F946">
        <v>23.02</v>
      </c>
      <c r="G946" t="s">
        <v>20</v>
      </c>
      <c r="H946" s="2">
        <v>45481</v>
      </c>
    </row>
    <row r="947" spans="1:8" x14ac:dyDescent="0.25">
      <c r="A947" t="s">
        <v>1327</v>
      </c>
      <c r="B947" s="1">
        <v>0.8129048148148148</v>
      </c>
      <c r="C947" t="s">
        <v>14</v>
      </c>
      <c r="D947" t="s">
        <v>10</v>
      </c>
      <c r="E947" t="s">
        <v>1328</v>
      </c>
      <c r="F947">
        <v>27.92</v>
      </c>
      <c r="G947" t="s">
        <v>25</v>
      </c>
      <c r="H947" s="2">
        <v>45481</v>
      </c>
    </row>
    <row r="948" spans="1:8" x14ac:dyDescent="0.25">
      <c r="A948" t="s">
        <v>1329</v>
      </c>
      <c r="B948" s="1">
        <v>0.92692337962962967</v>
      </c>
      <c r="C948" t="s">
        <v>14</v>
      </c>
      <c r="D948" t="s">
        <v>10</v>
      </c>
      <c r="E948" t="s">
        <v>61</v>
      </c>
      <c r="F948">
        <v>32.82</v>
      </c>
      <c r="G948" t="s">
        <v>12</v>
      </c>
      <c r="H948" s="2">
        <v>45481</v>
      </c>
    </row>
    <row r="949" spans="1:8" x14ac:dyDescent="0.25">
      <c r="A949" t="s">
        <v>1330</v>
      </c>
      <c r="B949" s="1">
        <v>0.43532567129629629</v>
      </c>
      <c r="C949" t="s">
        <v>9</v>
      </c>
      <c r="D949" t="s">
        <v>10</v>
      </c>
      <c r="E949" t="s">
        <v>1238</v>
      </c>
      <c r="F949">
        <v>27.92</v>
      </c>
      <c r="G949" t="s">
        <v>25</v>
      </c>
      <c r="H949" s="2">
        <v>45482</v>
      </c>
    </row>
    <row r="950" spans="1:8" x14ac:dyDescent="0.25">
      <c r="A950" t="s">
        <v>1331</v>
      </c>
      <c r="B950" s="1">
        <v>0.44477739583333331</v>
      </c>
      <c r="C950" t="s">
        <v>9</v>
      </c>
      <c r="D950" t="s">
        <v>10</v>
      </c>
      <c r="E950" t="s">
        <v>1038</v>
      </c>
      <c r="F950">
        <v>27.92</v>
      </c>
      <c r="G950" t="s">
        <v>25</v>
      </c>
      <c r="H950" s="2">
        <v>45482</v>
      </c>
    </row>
    <row r="951" spans="1:8" x14ac:dyDescent="0.25">
      <c r="A951" t="s">
        <v>1332</v>
      </c>
      <c r="B951" s="1">
        <v>0.47333452546296295</v>
      </c>
      <c r="C951" t="s">
        <v>9</v>
      </c>
      <c r="D951" t="s">
        <v>10</v>
      </c>
      <c r="E951" t="s">
        <v>754</v>
      </c>
      <c r="F951">
        <v>27.92</v>
      </c>
      <c r="G951" t="s">
        <v>25</v>
      </c>
      <c r="H951" s="2">
        <v>45482</v>
      </c>
    </row>
    <row r="952" spans="1:8" x14ac:dyDescent="0.25">
      <c r="A952" t="s">
        <v>1333</v>
      </c>
      <c r="B952" s="1">
        <v>0.4741887037037037</v>
      </c>
      <c r="C952" t="s">
        <v>9</v>
      </c>
      <c r="D952" t="s">
        <v>10</v>
      </c>
      <c r="E952" t="s">
        <v>754</v>
      </c>
      <c r="F952">
        <v>32.82</v>
      </c>
      <c r="G952" t="s">
        <v>93</v>
      </c>
      <c r="H952" s="2">
        <v>45482</v>
      </c>
    </row>
    <row r="953" spans="1:8" x14ac:dyDescent="0.25">
      <c r="A953" t="s">
        <v>1334</v>
      </c>
      <c r="B953" s="1">
        <v>0.69652239583333331</v>
      </c>
      <c r="C953" t="s">
        <v>14</v>
      </c>
      <c r="D953" t="s">
        <v>10</v>
      </c>
      <c r="E953" t="s">
        <v>1335</v>
      </c>
      <c r="F953">
        <v>27.92</v>
      </c>
      <c r="G953" t="s">
        <v>25</v>
      </c>
      <c r="H953" s="2">
        <v>45482</v>
      </c>
    </row>
    <row r="954" spans="1:8" x14ac:dyDescent="0.25">
      <c r="A954" t="s">
        <v>1336</v>
      </c>
      <c r="B954" s="1">
        <v>0.46576030092592591</v>
      </c>
      <c r="C954" t="s">
        <v>9</v>
      </c>
      <c r="D954" t="s">
        <v>10</v>
      </c>
      <c r="E954" t="s">
        <v>1337</v>
      </c>
      <c r="F954">
        <v>23.02</v>
      </c>
      <c r="G954" t="s">
        <v>20</v>
      </c>
      <c r="H954" s="2">
        <v>45483</v>
      </c>
    </row>
    <row r="955" spans="1:8" x14ac:dyDescent="0.25">
      <c r="A955" t="s">
        <v>1338</v>
      </c>
      <c r="B955" s="1">
        <v>0.52006549768518517</v>
      </c>
      <c r="C955" t="s">
        <v>14</v>
      </c>
      <c r="D955" t="s">
        <v>10</v>
      </c>
      <c r="E955" t="s">
        <v>1339</v>
      </c>
      <c r="F955">
        <v>27.92</v>
      </c>
      <c r="G955" t="s">
        <v>25</v>
      </c>
      <c r="H955" s="2">
        <v>45483</v>
      </c>
    </row>
    <row r="956" spans="1:8" x14ac:dyDescent="0.25">
      <c r="A956" t="s">
        <v>1340</v>
      </c>
      <c r="B956" s="1">
        <v>0.9258107523148148</v>
      </c>
      <c r="C956" t="s">
        <v>14</v>
      </c>
      <c r="D956" t="s">
        <v>10</v>
      </c>
      <c r="E956" t="s">
        <v>1225</v>
      </c>
      <c r="F956">
        <v>32.82</v>
      </c>
      <c r="G956" t="s">
        <v>12</v>
      </c>
      <c r="H956" s="2">
        <v>45483</v>
      </c>
    </row>
    <row r="957" spans="1:8" x14ac:dyDescent="0.25">
      <c r="A957" t="s">
        <v>1341</v>
      </c>
      <c r="B957" s="1">
        <v>0.47740233796296294</v>
      </c>
      <c r="C957" t="s">
        <v>9</v>
      </c>
      <c r="D957" t="s">
        <v>10</v>
      </c>
      <c r="E957" t="s">
        <v>1342</v>
      </c>
      <c r="F957">
        <v>32.82</v>
      </c>
      <c r="G957" t="s">
        <v>16</v>
      </c>
      <c r="H957" s="2">
        <v>45484</v>
      </c>
    </row>
    <row r="958" spans="1:8" x14ac:dyDescent="0.25">
      <c r="A958" t="s">
        <v>1343</v>
      </c>
      <c r="B958" s="1">
        <v>0.7002165393518518</v>
      </c>
      <c r="C958" t="s">
        <v>14</v>
      </c>
      <c r="D958" t="s">
        <v>10</v>
      </c>
      <c r="E958" t="s">
        <v>1344</v>
      </c>
      <c r="F958">
        <v>27.92</v>
      </c>
      <c r="G958" t="s">
        <v>25</v>
      </c>
      <c r="H958" s="2">
        <v>45484</v>
      </c>
    </row>
    <row r="959" spans="1:8" x14ac:dyDescent="0.25">
      <c r="A959" t="s">
        <v>1345</v>
      </c>
      <c r="B959" s="1">
        <v>0.93210240740740746</v>
      </c>
      <c r="C959" t="s">
        <v>14</v>
      </c>
      <c r="D959" t="s">
        <v>10</v>
      </c>
      <c r="E959" t="s">
        <v>1346</v>
      </c>
      <c r="F959">
        <v>32.82</v>
      </c>
      <c r="G959" t="s">
        <v>12</v>
      </c>
      <c r="H959" s="2">
        <v>45484</v>
      </c>
    </row>
    <row r="960" spans="1:8" x14ac:dyDescent="0.25">
      <c r="A960" t="s">
        <v>1347</v>
      </c>
      <c r="B960" s="1">
        <v>0.93817755787037038</v>
      </c>
      <c r="C960" t="s">
        <v>14</v>
      </c>
      <c r="D960" t="s">
        <v>10</v>
      </c>
      <c r="E960" t="s">
        <v>1348</v>
      </c>
      <c r="F960">
        <v>23.02</v>
      </c>
      <c r="G960" t="s">
        <v>20</v>
      </c>
      <c r="H960" s="2">
        <v>45484</v>
      </c>
    </row>
    <row r="961" spans="1:8" x14ac:dyDescent="0.25">
      <c r="A961" t="s">
        <v>1349</v>
      </c>
      <c r="B961" s="1">
        <v>0.33561912037037039</v>
      </c>
      <c r="C961" t="s">
        <v>9</v>
      </c>
      <c r="D961" t="s">
        <v>10</v>
      </c>
      <c r="E961" t="s">
        <v>1350</v>
      </c>
      <c r="F961">
        <v>23.02</v>
      </c>
      <c r="G961" t="s">
        <v>54</v>
      </c>
      <c r="H961" s="2">
        <v>45485</v>
      </c>
    </row>
    <row r="962" spans="1:8" x14ac:dyDescent="0.25">
      <c r="A962" t="s">
        <v>1351</v>
      </c>
      <c r="B962" s="1">
        <v>0.49205302083333335</v>
      </c>
      <c r="C962" t="s">
        <v>9</v>
      </c>
      <c r="D962" t="s">
        <v>10</v>
      </c>
      <c r="E962" t="s">
        <v>1352</v>
      </c>
      <c r="F962">
        <v>32.82</v>
      </c>
      <c r="G962" t="s">
        <v>16</v>
      </c>
      <c r="H962" s="2">
        <v>45485</v>
      </c>
    </row>
    <row r="963" spans="1:8" x14ac:dyDescent="0.25">
      <c r="A963" t="s">
        <v>1353</v>
      </c>
      <c r="B963" s="1">
        <v>0.93987950231481476</v>
      </c>
      <c r="C963" t="s">
        <v>14</v>
      </c>
      <c r="D963" t="s">
        <v>10</v>
      </c>
      <c r="E963" t="s">
        <v>703</v>
      </c>
      <c r="F963">
        <v>32.82</v>
      </c>
      <c r="G963" t="s">
        <v>16</v>
      </c>
      <c r="H963" s="2">
        <v>45485</v>
      </c>
    </row>
    <row r="964" spans="1:8" x14ac:dyDescent="0.25">
      <c r="A964" t="s">
        <v>1354</v>
      </c>
      <c r="B964" s="1">
        <v>0.94044336805555551</v>
      </c>
      <c r="C964" t="s">
        <v>14</v>
      </c>
      <c r="D964" t="s">
        <v>10</v>
      </c>
      <c r="E964" t="s">
        <v>701</v>
      </c>
      <c r="F964">
        <v>32.82</v>
      </c>
      <c r="G964" t="s">
        <v>16</v>
      </c>
      <c r="H964" s="2">
        <v>45485</v>
      </c>
    </row>
    <row r="965" spans="1:8" x14ac:dyDescent="0.25">
      <c r="A965" t="s">
        <v>1355</v>
      </c>
      <c r="B965" s="1">
        <v>0.94131386574074072</v>
      </c>
      <c r="C965" t="s">
        <v>14</v>
      </c>
      <c r="D965" t="s">
        <v>10</v>
      </c>
      <c r="E965" t="s">
        <v>705</v>
      </c>
      <c r="F965">
        <v>32.82</v>
      </c>
      <c r="G965" t="s">
        <v>16</v>
      </c>
      <c r="H965" s="2">
        <v>45485</v>
      </c>
    </row>
    <row r="966" spans="1:8" x14ac:dyDescent="0.25">
      <c r="A966" t="s">
        <v>1356</v>
      </c>
      <c r="B966" s="1">
        <v>0.44317445601851851</v>
      </c>
      <c r="C966" t="s">
        <v>9</v>
      </c>
      <c r="D966" t="s">
        <v>10</v>
      </c>
      <c r="E966" t="s">
        <v>1337</v>
      </c>
      <c r="F966">
        <v>32.82</v>
      </c>
      <c r="G966" t="s">
        <v>12</v>
      </c>
      <c r="H966" s="2">
        <v>45486</v>
      </c>
    </row>
    <row r="967" spans="1:8" x14ac:dyDescent="0.25">
      <c r="A967" t="s">
        <v>1357</v>
      </c>
      <c r="B967" s="1">
        <v>0.48724640046296297</v>
      </c>
      <c r="C967" t="s">
        <v>9</v>
      </c>
      <c r="D967" t="s">
        <v>10</v>
      </c>
      <c r="E967" t="s">
        <v>1337</v>
      </c>
      <c r="F967">
        <v>32.82</v>
      </c>
      <c r="G967" t="s">
        <v>12</v>
      </c>
      <c r="H967" s="2">
        <v>45486</v>
      </c>
    </row>
    <row r="968" spans="1:8" x14ac:dyDescent="0.25">
      <c r="A968" t="s">
        <v>1358</v>
      </c>
      <c r="B968" s="1">
        <v>0.45444799768518518</v>
      </c>
      <c r="C968" t="s">
        <v>9</v>
      </c>
      <c r="D968" t="s">
        <v>10</v>
      </c>
      <c r="E968" t="s">
        <v>1359</v>
      </c>
      <c r="F968">
        <v>23.02</v>
      </c>
      <c r="G968" t="s">
        <v>20</v>
      </c>
      <c r="H968" s="2">
        <v>45487</v>
      </c>
    </row>
    <row r="969" spans="1:8" x14ac:dyDescent="0.25">
      <c r="A969" t="s">
        <v>1360</v>
      </c>
      <c r="B969" s="1">
        <v>0.45521440972222221</v>
      </c>
      <c r="C969" t="s">
        <v>9</v>
      </c>
      <c r="D969" t="s">
        <v>10</v>
      </c>
      <c r="E969" t="s">
        <v>1359</v>
      </c>
      <c r="F969">
        <v>27.92</v>
      </c>
      <c r="G969" t="s">
        <v>25</v>
      </c>
      <c r="H969" s="2">
        <v>45487</v>
      </c>
    </row>
    <row r="970" spans="1:8" x14ac:dyDescent="0.25">
      <c r="A970" t="s">
        <v>1361</v>
      </c>
      <c r="B970" s="1">
        <v>0.45590568287037037</v>
      </c>
      <c r="C970" t="s">
        <v>9</v>
      </c>
      <c r="D970" t="s">
        <v>10</v>
      </c>
      <c r="E970" t="s">
        <v>1359</v>
      </c>
      <c r="F970">
        <v>32.82</v>
      </c>
      <c r="G970" t="s">
        <v>93</v>
      </c>
      <c r="H970" s="2">
        <v>45487</v>
      </c>
    </row>
    <row r="971" spans="1:8" x14ac:dyDescent="0.25">
      <c r="A971" t="s">
        <v>1362</v>
      </c>
      <c r="B971" s="1">
        <v>0.4568757175925926</v>
      </c>
      <c r="C971" t="s">
        <v>9</v>
      </c>
      <c r="D971" t="s">
        <v>10</v>
      </c>
      <c r="E971" t="s">
        <v>1363</v>
      </c>
      <c r="F971">
        <v>32.82</v>
      </c>
      <c r="G971" t="s">
        <v>12</v>
      </c>
      <c r="H971" s="2">
        <v>45487</v>
      </c>
    </row>
    <row r="972" spans="1:8" x14ac:dyDescent="0.25">
      <c r="A972" t="s">
        <v>1364</v>
      </c>
      <c r="B972" s="1">
        <v>0.45985877314814816</v>
      </c>
      <c r="C972" t="s">
        <v>9</v>
      </c>
      <c r="D972" t="s">
        <v>10</v>
      </c>
      <c r="E972" t="s">
        <v>1365</v>
      </c>
      <c r="F972">
        <v>23.02</v>
      </c>
      <c r="G972" t="s">
        <v>20</v>
      </c>
      <c r="H972" s="2">
        <v>45487</v>
      </c>
    </row>
    <row r="973" spans="1:8" x14ac:dyDescent="0.25">
      <c r="A973" t="s">
        <v>1366</v>
      </c>
      <c r="B973" s="1">
        <v>0.93854138888888894</v>
      </c>
      <c r="C973" t="s">
        <v>14</v>
      </c>
      <c r="D973" t="s">
        <v>10</v>
      </c>
      <c r="E973" t="s">
        <v>1367</v>
      </c>
      <c r="F973">
        <v>32.82</v>
      </c>
      <c r="G973" t="s">
        <v>12</v>
      </c>
      <c r="H973" s="2">
        <v>45487</v>
      </c>
    </row>
    <row r="974" spans="1:8" x14ac:dyDescent="0.25">
      <c r="A974" t="s">
        <v>1368</v>
      </c>
      <c r="B974" s="1">
        <v>0.31464765046296295</v>
      </c>
      <c r="C974" t="s">
        <v>9</v>
      </c>
      <c r="D974" t="s">
        <v>10</v>
      </c>
      <c r="E974" t="s">
        <v>1369</v>
      </c>
      <c r="F974">
        <v>32.82</v>
      </c>
      <c r="G974" t="s">
        <v>93</v>
      </c>
      <c r="H974" s="2">
        <v>45488</v>
      </c>
    </row>
    <row r="975" spans="1:8" x14ac:dyDescent="0.25">
      <c r="A975" t="s">
        <v>1370</v>
      </c>
      <c r="B975" s="1">
        <v>0.51640586805555555</v>
      </c>
      <c r="C975" t="s">
        <v>14</v>
      </c>
      <c r="D975" t="s">
        <v>10</v>
      </c>
      <c r="E975" t="s">
        <v>1371</v>
      </c>
      <c r="F975">
        <v>27.92</v>
      </c>
      <c r="G975" t="s">
        <v>25</v>
      </c>
      <c r="H975" s="2">
        <v>45489</v>
      </c>
    </row>
    <row r="976" spans="1:8" x14ac:dyDescent="0.25">
      <c r="A976" t="s">
        <v>1372</v>
      </c>
      <c r="B976" s="1">
        <v>0.81210052083333328</v>
      </c>
      <c r="C976" t="s">
        <v>14</v>
      </c>
      <c r="D976" t="s">
        <v>10</v>
      </c>
      <c r="E976" t="s">
        <v>1342</v>
      </c>
      <c r="F976">
        <v>32.82</v>
      </c>
      <c r="G976" t="s">
        <v>16</v>
      </c>
      <c r="H976" s="2">
        <v>45489</v>
      </c>
    </row>
    <row r="977" spans="1:8" x14ac:dyDescent="0.25">
      <c r="A977" t="s">
        <v>1373</v>
      </c>
      <c r="B977" s="1">
        <v>0.54513592592592597</v>
      </c>
      <c r="C977" t="s">
        <v>14</v>
      </c>
      <c r="D977" t="s">
        <v>10</v>
      </c>
      <c r="E977" t="s">
        <v>1374</v>
      </c>
      <c r="F977">
        <v>27.92</v>
      </c>
      <c r="G977" t="s">
        <v>25</v>
      </c>
      <c r="H977" s="2">
        <v>45490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55431-4696-430C-98DA-5F35045EAC99}">
  <dimension ref="A1:E279"/>
  <sheetViews>
    <sheetView tabSelected="1" topLeftCell="G1" workbookViewId="0">
      <selection activeCell="AF13" sqref="AF13"/>
    </sheetView>
  </sheetViews>
  <sheetFormatPr defaultRowHeight="15" x14ac:dyDescent="0.25"/>
  <cols>
    <col min="1" max="1" width="10.42578125" bestFit="1" customWidth="1"/>
    <col min="2" max="2" width="9.28515625" bestFit="1" customWidth="1"/>
    <col min="3" max="3" width="17.140625" customWidth="1"/>
    <col min="4" max="5" width="32" customWidth="1"/>
  </cols>
  <sheetData>
    <row r="1" spans="1:5" x14ac:dyDescent="0.25">
      <c r="A1" t="s">
        <v>7</v>
      </c>
      <c r="B1" t="s">
        <v>5</v>
      </c>
      <c r="C1" t="s">
        <v>1375</v>
      </c>
      <c r="D1" t="s">
        <v>1376</v>
      </c>
      <c r="E1" t="s">
        <v>1377</v>
      </c>
    </row>
    <row r="2" spans="1:5" x14ac:dyDescent="0.25">
      <c r="A2" s="2">
        <v>45352</v>
      </c>
      <c r="B2" s="5">
        <v>36.027272727272724</v>
      </c>
    </row>
    <row r="3" spans="1:5" x14ac:dyDescent="0.25">
      <c r="A3" s="2">
        <v>45353</v>
      </c>
      <c r="B3" s="5">
        <v>32.585714285714282</v>
      </c>
    </row>
    <row r="4" spans="1:5" x14ac:dyDescent="0.25">
      <c r="A4" s="2">
        <v>45354</v>
      </c>
      <c r="B4" s="5">
        <v>34.909999999999997</v>
      </c>
    </row>
    <row r="5" spans="1:5" x14ac:dyDescent="0.25">
      <c r="A5" s="2">
        <v>45355</v>
      </c>
      <c r="B5" s="5">
        <v>33.799999999999997</v>
      </c>
    </row>
    <row r="6" spans="1:5" x14ac:dyDescent="0.25">
      <c r="A6" s="2">
        <v>45356</v>
      </c>
      <c r="B6" s="5">
        <v>37.611111111111107</v>
      </c>
    </row>
    <row r="7" spans="1:5" x14ac:dyDescent="0.25">
      <c r="A7" s="2">
        <v>45357</v>
      </c>
      <c r="B7" s="5">
        <v>34.040000000000006</v>
      </c>
    </row>
    <row r="8" spans="1:5" x14ac:dyDescent="0.25">
      <c r="A8" s="2">
        <v>45358</v>
      </c>
      <c r="B8" s="5">
        <v>36.68333333333333</v>
      </c>
    </row>
    <row r="9" spans="1:5" x14ac:dyDescent="0.25">
      <c r="A9" s="2">
        <v>45359</v>
      </c>
      <c r="B9" s="5">
        <v>33.1875</v>
      </c>
    </row>
    <row r="10" spans="1:5" x14ac:dyDescent="0.25">
      <c r="A10" s="2">
        <v>45360</v>
      </c>
      <c r="B10" s="5">
        <v>34.24285714285714</v>
      </c>
    </row>
    <row r="11" spans="1:5" x14ac:dyDescent="0.25">
      <c r="A11" s="2">
        <v>45361</v>
      </c>
      <c r="B11" s="5">
        <v>33.085714285714282</v>
      </c>
    </row>
    <row r="12" spans="1:5" x14ac:dyDescent="0.25">
      <c r="A12" s="2">
        <v>45362</v>
      </c>
      <c r="B12" s="5">
        <v>34.4</v>
      </c>
    </row>
    <row r="13" spans="1:5" x14ac:dyDescent="0.25">
      <c r="A13" s="2">
        <v>45363</v>
      </c>
      <c r="B13" s="5">
        <v>32.585714285714289</v>
      </c>
    </row>
    <row r="14" spans="1:5" x14ac:dyDescent="0.25">
      <c r="A14" s="2">
        <v>45364</v>
      </c>
      <c r="B14" s="5">
        <v>28.466666666666672</v>
      </c>
    </row>
    <row r="15" spans="1:5" x14ac:dyDescent="0.25">
      <c r="A15" s="2">
        <v>45365</v>
      </c>
      <c r="B15" s="5">
        <v>33.091666666666661</v>
      </c>
    </row>
    <row r="16" spans="1:5" x14ac:dyDescent="0.25">
      <c r="A16" s="2">
        <v>45366</v>
      </c>
      <c r="B16" s="5">
        <v>35.866666666666667</v>
      </c>
    </row>
    <row r="17" spans="1:2" x14ac:dyDescent="0.25">
      <c r="A17" s="2">
        <v>45367</v>
      </c>
      <c r="B17" s="5">
        <v>30.533333333333331</v>
      </c>
    </row>
    <row r="18" spans="1:2" x14ac:dyDescent="0.25">
      <c r="A18" s="2">
        <v>45368</v>
      </c>
      <c r="B18" s="5">
        <v>34.450000000000003</v>
      </c>
    </row>
    <row r="19" spans="1:2" x14ac:dyDescent="0.25">
      <c r="A19" s="2">
        <v>45369</v>
      </c>
      <c r="B19" s="5">
        <v>28.9</v>
      </c>
    </row>
    <row r="20" spans="1:2" x14ac:dyDescent="0.25">
      <c r="A20" s="2">
        <v>45370</v>
      </c>
      <c r="B20" s="5">
        <v>36.65</v>
      </c>
    </row>
    <row r="21" spans="1:2" x14ac:dyDescent="0.25">
      <c r="A21" s="2">
        <v>45371</v>
      </c>
      <c r="B21" s="5">
        <v>35.65</v>
      </c>
    </row>
    <row r="22" spans="1:2" x14ac:dyDescent="0.25">
      <c r="A22" s="2">
        <v>45372</v>
      </c>
      <c r="B22" s="5">
        <v>34.200000000000003</v>
      </c>
    </row>
    <row r="23" spans="1:2" x14ac:dyDescent="0.25">
      <c r="A23" s="2">
        <v>45373</v>
      </c>
      <c r="B23" s="5">
        <v>31.566666666666663</v>
      </c>
    </row>
    <row r="24" spans="1:2" x14ac:dyDescent="0.25">
      <c r="A24" s="2">
        <v>45374</v>
      </c>
      <c r="B24" s="5">
        <v>35.637499999999996</v>
      </c>
    </row>
    <row r="25" spans="1:2" x14ac:dyDescent="0.25">
      <c r="A25" s="2">
        <v>45375</v>
      </c>
      <c r="B25" s="5">
        <v>39.35</v>
      </c>
    </row>
    <row r="26" spans="1:2" x14ac:dyDescent="0.25">
      <c r="A26" s="2">
        <v>45376</v>
      </c>
      <c r="B26" s="5">
        <v>37.266666666666673</v>
      </c>
    </row>
    <row r="27" spans="1:2" x14ac:dyDescent="0.25">
      <c r="A27" s="2">
        <v>45377</v>
      </c>
      <c r="B27" s="5">
        <v>34.245454545454542</v>
      </c>
    </row>
    <row r="28" spans="1:2" x14ac:dyDescent="0.25">
      <c r="A28" s="2">
        <v>45378</v>
      </c>
      <c r="B28" s="5">
        <v>33.962499999999999</v>
      </c>
    </row>
    <row r="29" spans="1:2" x14ac:dyDescent="0.25">
      <c r="A29" s="2">
        <v>45379</v>
      </c>
      <c r="B29" s="5">
        <v>31.35</v>
      </c>
    </row>
    <row r="30" spans="1:2" x14ac:dyDescent="0.25">
      <c r="A30" s="2">
        <v>45380</v>
      </c>
      <c r="B30" s="5">
        <v>39.025000000000006</v>
      </c>
    </row>
    <row r="31" spans="1:2" x14ac:dyDescent="0.25">
      <c r="A31" s="2">
        <v>45381</v>
      </c>
      <c r="B31" s="5">
        <v>37.979999999999997</v>
      </c>
    </row>
    <row r="32" spans="1:2" x14ac:dyDescent="0.25">
      <c r="A32" s="2">
        <v>45382</v>
      </c>
      <c r="B32" s="5">
        <v>34.35</v>
      </c>
    </row>
    <row r="33" spans="1:2" x14ac:dyDescent="0.25">
      <c r="A33" s="2">
        <v>45383</v>
      </c>
      <c r="B33" s="5">
        <v>34.68571428571429</v>
      </c>
    </row>
    <row r="34" spans="1:2" x14ac:dyDescent="0.25">
      <c r="A34" s="2">
        <v>45384</v>
      </c>
      <c r="B34" s="5">
        <v>34.125</v>
      </c>
    </row>
    <row r="35" spans="1:2" x14ac:dyDescent="0.25">
      <c r="A35" s="2">
        <v>45385</v>
      </c>
      <c r="B35" s="5">
        <v>31.625</v>
      </c>
    </row>
    <row r="36" spans="1:2" x14ac:dyDescent="0.25">
      <c r="A36" s="2">
        <v>45386</v>
      </c>
      <c r="B36" s="5">
        <v>37</v>
      </c>
    </row>
    <row r="37" spans="1:2" x14ac:dyDescent="0.25">
      <c r="A37" s="2">
        <v>45387</v>
      </c>
      <c r="B37" s="5">
        <v>32.918181818181814</v>
      </c>
    </row>
    <row r="38" spans="1:2" x14ac:dyDescent="0.25">
      <c r="A38" s="2">
        <v>45388</v>
      </c>
      <c r="B38" s="5">
        <v>35.024999999999999</v>
      </c>
    </row>
    <row r="39" spans="1:2" x14ac:dyDescent="0.25">
      <c r="A39" s="2">
        <v>45389</v>
      </c>
      <c r="B39" s="5">
        <v>34.5</v>
      </c>
    </row>
    <row r="40" spans="1:2" x14ac:dyDescent="0.25">
      <c r="A40" s="2">
        <v>45390</v>
      </c>
      <c r="B40" s="5">
        <v>34.019999999999996</v>
      </c>
    </row>
    <row r="41" spans="1:2" x14ac:dyDescent="0.25">
      <c r="A41" s="2">
        <v>45391</v>
      </c>
      <c r="B41" s="5">
        <v>37.220000000000006</v>
      </c>
    </row>
    <row r="42" spans="1:2" x14ac:dyDescent="0.25">
      <c r="A42" s="2">
        <v>45392</v>
      </c>
      <c r="B42" s="5">
        <v>33.28</v>
      </c>
    </row>
    <row r="43" spans="1:2" x14ac:dyDescent="0.25">
      <c r="A43" s="2">
        <v>45393</v>
      </c>
      <c r="B43" s="5">
        <v>33.799999999999997</v>
      </c>
    </row>
    <row r="44" spans="1:2" x14ac:dyDescent="0.25">
      <c r="A44" s="2">
        <v>45394</v>
      </c>
      <c r="B44" s="5">
        <v>33.799999999999997</v>
      </c>
    </row>
    <row r="45" spans="1:2" x14ac:dyDescent="0.25">
      <c r="A45" s="2">
        <v>45395</v>
      </c>
      <c r="B45" s="5">
        <v>37.799999999999997</v>
      </c>
    </row>
    <row r="46" spans="1:2" x14ac:dyDescent="0.25">
      <c r="A46" s="2">
        <v>45396</v>
      </c>
      <c r="B46" s="5">
        <v>33.407692307692308</v>
      </c>
    </row>
    <row r="47" spans="1:2" x14ac:dyDescent="0.25">
      <c r="A47" s="2">
        <v>45397</v>
      </c>
      <c r="B47" s="5">
        <v>30.080000000000002</v>
      </c>
    </row>
    <row r="48" spans="1:2" x14ac:dyDescent="0.25">
      <c r="A48" s="2">
        <v>45398</v>
      </c>
      <c r="B48" s="5">
        <v>34.5625</v>
      </c>
    </row>
    <row r="49" spans="1:2" x14ac:dyDescent="0.25">
      <c r="A49" s="2">
        <v>45399</v>
      </c>
      <c r="B49" s="5">
        <v>33.200000000000003</v>
      </c>
    </row>
    <row r="50" spans="1:2" x14ac:dyDescent="0.25">
      <c r="A50" s="2">
        <v>45400</v>
      </c>
      <c r="B50" s="5">
        <v>35.269999999999996</v>
      </c>
    </row>
    <row r="51" spans="1:2" x14ac:dyDescent="0.25">
      <c r="A51" s="2">
        <v>45401</v>
      </c>
      <c r="B51" s="5">
        <v>37.300000000000004</v>
      </c>
    </row>
    <row r="52" spans="1:2" x14ac:dyDescent="0.25">
      <c r="A52" s="2">
        <v>45402</v>
      </c>
      <c r="B52" s="5">
        <v>35.307142857142857</v>
      </c>
    </row>
    <row r="53" spans="1:2" x14ac:dyDescent="0.25">
      <c r="A53" s="2">
        <v>45403</v>
      </c>
      <c r="B53" s="5">
        <v>34.880000000000003</v>
      </c>
    </row>
    <row r="54" spans="1:2" x14ac:dyDescent="0.25">
      <c r="A54" s="2">
        <v>45404</v>
      </c>
      <c r="B54" s="5">
        <v>35.291999999999994</v>
      </c>
    </row>
    <row r="55" spans="1:2" x14ac:dyDescent="0.25">
      <c r="A55" s="2">
        <v>45405</v>
      </c>
      <c r="B55" s="5">
        <v>34.78</v>
      </c>
    </row>
    <row r="56" spans="1:2" x14ac:dyDescent="0.25">
      <c r="A56" s="2">
        <v>45406</v>
      </c>
      <c r="B56" s="5">
        <v>34.044999999999995</v>
      </c>
    </row>
    <row r="57" spans="1:2" x14ac:dyDescent="0.25">
      <c r="A57" s="2">
        <v>45407</v>
      </c>
      <c r="B57" s="5">
        <v>30.37</v>
      </c>
    </row>
    <row r="58" spans="1:2" x14ac:dyDescent="0.25">
      <c r="A58" s="2">
        <v>45408</v>
      </c>
      <c r="B58" s="5">
        <v>33.364444444444445</v>
      </c>
    </row>
    <row r="59" spans="1:2" x14ac:dyDescent="0.25">
      <c r="A59" s="2">
        <v>45409</v>
      </c>
      <c r="B59" s="5">
        <v>37.72</v>
      </c>
    </row>
    <row r="60" spans="1:2" x14ac:dyDescent="0.25">
      <c r="A60" s="2">
        <v>45410</v>
      </c>
      <c r="B60" s="5">
        <v>33.799999999999997</v>
      </c>
    </row>
    <row r="61" spans="1:2" x14ac:dyDescent="0.25">
      <c r="A61" s="2">
        <v>45411</v>
      </c>
      <c r="B61" s="5">
        <v>32.207500000000003</v>
      </c>
    </row>
    <row r="62" spans="1:2" x14ac:dyDescent="0.25">
      <c r="A62" s="2">
        <v>45412</v>
      </c>
      <c r="B62" s="5">
        <v>34.045000000000002</v>
      </c>
    </row>
    <row r="63" spans="1:2" x14ac:dyDescent="0.25">
      <c r="A63" s="2">
        <v>45413</v>
      </c>
      <c r="B63" s="5">
        <v>34.573928571428567</v>
      </c>
    </row>
    <row r="64" spans="1:2" x14ac:dyDescent="0.25">
      <c r="A64" s="2">
        <v>45414</v>
      </c>
      <c r="B64" s="5">
        <v>35.10285714285714</v>
      </c>
    </row>
    <row r="65" spans="1:2" x14ac:dyDescent="0.25">
      <c r="A65" s="2">
        <v>45415</v>
      </c>
      <c r="B65" s="5">
        <v>38.146666666666668</v>
      </c>
    </row>
    <row r="66" spans="1:2" x14ac:dyDescent="0.25">
      <c r="A66" s="2">
        <v>45416</v>
      </c>
      <c r="B66" s="5">
        <v>35.917111111111112</v>
      </c>
    </row>
    <row r="67" spans="1:2" x14ac:dyDescent="0.25">
      <c r="A67" s="2">
        <v>45417</v>
      </c>
      <c r="B67" s="5">
        <v>33.687555555555555</v>
      </c>
    </row>
    <row r="68" spans="1:2" x14ac:dyDescent="0.25">
      <c r="A68" s="2">
        <v>45418</v>
      </c>
      <c r="B68" s="5">
        <v>31.457999999999998</v>
      </c>
    </row>
    <row r="69" spans="1:2" x14ac:dyDescent="0.25">
      <c r="A69" s="2">
        <v>45419</v>
      </c>
      <c r="B69" s="5">
        <v>34.408000000000001</v>
      </c>
    </row>
    <row r="70" spans="1:2" x14ac:dyDescent="0.25">
      <c r="A70" s="2">
        <v>45420</v>
      </c>
      <c r="B70" s="5">
        <v>37.72</v>
      </c>
    </row>
    <row r="71" spans="1:2" x14ac:dyDescent="0.25">
      <c r="A71" s="2">
        <v>45421</v>
      </c>
      <c r="B71" s="5">
        <v>32.82</v>
      </c>
    </row>
    <row r="72" spans="1:2" x14ac:dyDescent="0.25">
      <c r="A72" s="2">
        <v>45422</v>
      </c>
      <c r="B72" s="5">
        <v>37.11</v>
      </c>
    </row>
    <row r="73" spans="1:2" x14ac:dyDescent="0.25">
      <c r="A73" s="2">
        <v>45423</v>
      </c>
      <c r="B73" s="5">
        <v>36.655000000000001</v>
      </c>
    </row>
    <row r="74" spans="1:2" x14ac:dyDescent="0.25">
      <c r="A74" s="2">
        <v>45424</v>
      </c>
      <c r="B74" s="5">
        <v>34.045000000000002</v>
      </c>
    </row>
    <row r="75" spans="1:2" x14ac:dyDescent="0.25">
      <c r="A75" s="2">
        <v>45425</v>
      </c>
      <c r="B75" s="5">
        <v>30.27333333333333</v>
      </c>
    </row>
    <row r="76" spans="1:2" x14ac:dyDescent="0.25">
      <c r="A76" s="2">
        <v>45426</v>
      </c>
      <c r="B76" s="5">
        <v>33.63666666666667</v>
      </c>
    </row>
    <row r="77" spans="1:2" x14ac:dyDescent="0.25">
      <c r="A77" s="2">
        <v>45427</v>
      </c>
      <c r="B77" s="5">
        <v>29.235000000000003</v>
      </c>
    </row>
    <row r="78" spans="1:2" x14ac:dyDescent="0.25">
      <c r="A78" s="2">
        <v>45428</v>
      </c>
      <c r="B78" s="5">
        <v>36.371111111111105</v>
      </c>
    </row>
    <row r="79" spans="1:2" x14ac:dyDescent="0.25">
      <c r="A79" s="2">
        <v>45429</v>
      </c>
      <c r="B79" s="5">
        <v>34.04</v>
      </c>
    </row>
    <row r="80" spans="1:2" x14ac:dyDescent="0.25">
      <c r="A80" s="2">
        <v>45430</v>
      </c>
      <c r="B80" s="5">
        <v>35.429999999999993</v>
      </c>
    </row>
    <row r="81" spans="1:2" x14ac:dyDescent="0.25">
      <c r="A81" s="2">
        <v>45431</v>
      </c>
      <c r="B81" s="5">
        <v>32.141538461538467</v>
      </c>
    </row>
    <row r="82" spans="1:2" x14ac:dyDescent="0.25">
      <c r="A82" s="2">
        <v>45432</v>
      </c>
      <c r="B82" s="5">
        <v>32.883529411764712</v>
      </c>
    </row>
    <row r="83" spans="1:2" x14ac:dyDescent="0.25">
      <c r="A83" s="2">
        <v>45433</v>
      </c>
      <c r="B83" s="5">
        <v>34.988888888888887</v>
      </c>
    </row>
    <row r="84" spans="1:2" x14ac:dyDescent="0.25">
      <c r="A84" s="2">
        <v>45434</v>
      </c>
      <c r="B84" s="5">
        <v>33.710909090909098</v>
      </c>
    </row>
    <row r="85" spans="1:2" x14ac:dyDescent="0.25">
      <c r="A85" s="2">
        <v>45435</v>
      </c>
      <c r="B85" s="5">
        <v>35.962500000000006</v>
      </c>
    </row>
    <row r="86" spans="1:2" x14ac:dyDescent="0.25">
      <c r="A86" s="2">
        <v>45436</v>
      </c>
      <c r="B86" s="5">
        <v>30.020000000000007</v>
      </c>
    </row>
    <row r="87" spans="1:2" x14ac:dyDescent="0.25">
      <c r="A87" s="2">
        <v>45437</v>
      </c>
      <c r="B87" s="5">
        <v>31.864999999999998</v>
      </c>
    </row>
    <row r="88" spans="1:2" x14ac:dyDescent="0.25">
      <c r="A88" s="2">
        <v>45438</v>
      </c>
      <c r="B88" s="5">
        <v>35.106666666666669</v>
      </c>
    </row>
    <row r="89" spans="1:2" x14ac:dyDescent="0.25">
      <c r="A89" s="2">
        <v>45439</v>
      </c>
      <c r="B89" s="5">
        <v>33.265454545454539</v>
      </c>
    </row>
    <row r="90" spans="1:2" x14ac:dyDescent="0.25">
      <c r="A90" s="2">
        <v>45440</v>
      </c>
      <c r="B90" s="5">
        <v>33.827272727272728</v>
      </c>
    </row>
    <row r="91" spans="1:2" x14ac:dyDescent="0.25">
      <c r="A91" s="2">
        <v>45441</v>
      </c>
      <c r="B91" s="5">
        <v>36.054545454545455</v>
      </c>
    </row>
    <row r="92" spans="1:2" x14ac:dyDescent="0.25">
      <c r="A92" s="2">
        <v>45442</v>
      </c>
      <c r="B92" s="5">
        <v>33.710909090909098</v>
      </c>
    </row>
    <row r="93" spans="1:2" x14ac:dyDescent="0.25">
      <c r="A93" s="2">
        <v>45443</v>
      </c>
      <c r="B93" s="5">
        <v>35.71142857142857</v>
      </c>
    </row>
    <row r="94" spans="1:2" x14ac:dyDescent="0.25">
      <c r="A94" s="2">
        <v>45444</v>
      </c>
      <c r="B94" s="5">
        <v>35.163636363636364</v>
      </c>
    </row>
    <row r="95" spans="1:2" x14ac:dyDescent="0.25">
      <c r="A95" s="2">
        <v>45445</v>
      </c>
      <c r="B95" s="5">
        <v>35.466666666666661</v>
      </c>
    </row>
    <row r="96" spans="1:2" x14ac:dyDescent="0.25">
      <c r="A96" s="2">
        <v>45446</v>
      </c>
      <c r="B96" s="5">
        <v>35.957142857142856</v>
      </c>
    </row>
    <row r="97" spans="1:2" x14ac:dyDescent="0.25">
      <c r="A97" s="2">
        <v>45447</v>
      </c>
      <c r="B97" s="5">
        <v>33.870000000000005</v>
      </c>
    </row>
    <row r="98" spans="1:2" x14ac:dyDescent="0.25">
      <c r="A98" s="2">
        <v>45448</v>
      </c>
      <c r="B98" s="5">
        <v>34.45333333333334</v>
      </c>
    </row>
    <row r="99" spans="1:2" x14ac:dyDescent="0.25">
      <c r="A99" s="2">
        <v>45449</v>
      </c>
      <c r="B99" s="5">
        <v>35.047272727272727</v>
      </c>
    </row>
    <row r="100" spans="1:2" x14ac:dyDescent="0.25">
      <c r="A100" s="2">
        <v>45450</v>
      </c>
      <c r="B100" s="5">
        <v>29.879999999999995</v>
      </c>
    </row>
    <row r="101" spans="1:2" x14ac:dyDescent="0.25">
      <c r="A101" s="2">
        <v>45451</v>
      </c>
      <c r="B101" s="5">
        <v>34.045000000000002</v>
      </c>
    </row>
    <row r="102" spans="1:2" x14ac:dyDescent="0.25">
      <c r="A102" s="2">
        <v>45452</v>
      </c>
      <c r="B102" s="5">
        <v>33.573846153846155</v>
      </c>
    </row>
    <row r="103" spans="1:2" x14ac:dyDescent="0.25">
      <c r="A103" s="2">
        <v>45453</v>
      </c>
      <c r="B103" s="5">
        <v>37.72</v>
      </c>
    </row>
    <row r="104" spans="1:2" x14ac:dyDescent="0.25">
      <c r="A104" s="2">
        <v>45454</v>
      </c>
      <c r="B104" s="5">
        <v>35.269999999999996</v>
      </c>
    </row>
    <row r="105" spans="1:2" x14ac:dyDescent="0.25">
      <c r="A105" s="2">
        <v>45455</v>
      </c>
      <c r="B105" s="5">
        <v>36.903333333333329</v>
      </c>
    </row>
    <row r="106" spans="1:2" x14ac:dyDescent="0.25">
      <c r="A106" s="2">
        <v>45456</v>
      </c>
      <c r="B106" s="5">
        <v>31.595000000000002</v>
      </c>
    </row>
    <row r="107" spans="1:2" x14ac:dyDescent="0.25">
      <c r="A107" s="2">
        <v>45457</v>
      </c>
      <c r="B107" s="5">
        <v>31.594999999999999</v>
      </c>
    </row>
    <row r="108" spans="1:2" x14ac:dyDescent="0.25">
      <c r="A108" s="2">
        <v>45458</v>
      </c>
      <c r="B108" s="5">
        <v>32.82</v>
      </c>
    </row>
    <row r="109" spans="1:2" x14ac:dyDescent="0.25">
      <c r="A109" s="2">
        <v>45459</v>
      </c>
      <c r="B109" s="5">
        <v>34.045000000000002</v>
      </c>
    </row>
    <row r="110" spans="1:2" x14ac:dyDescent="0.25">
      <c r="A110" s="2">
        <v>45460</v>
      </c>
      <c r="B110" s="5">
        <v>32.33</v>
      </c>
    </row>
    <row r="111" spans="1:2" x14ac:dyDescent="0.25">
      <c r="A111" s="2">
        <v>45461</v>
      </c>
      <c r="B111" s="5">
        <v>33.519999999999996</v>
      </c>
    </row>
    <row r="112" spans="1:2" x14ac:dyDescent="0.25">
      <c r="A112" s="2">
        <v>45462</v>
      </c>
      <c r="B112" s="5">
        <v>34.601818181818182</v>
      </c>
    </row>
    <row r="113" spans="1:2" x14ac:dyDescent="0.25">
      <c r="A113" s="2">
        <v>45463</v>
      </c>
      <c r="B113" s="5">
        <v>36.903333333333329</v>
      </c>
    </row>
    <row r="114" spans="1:2" x14ac:dyDescent="0.25">
      <c r="A114" s="2">
        <v>45464</v>
      </c>
      <c r="B114" s="5">
        <v>33.636666666666663</v>
      </c>
    </row>
    <row r="115" spans="1:2" x14ac:dyDescent="0.25">
      <c r="A115" s="2">
        <v>45465</v>
      </c>
      <c r="B115" s="5">
        <v>33.799999999999997</v>
      </c>
    </row>
    <row r="116" spans="1:2" x14ac:dyDescent="0.25">
      <c r="A116" s="2">
        <v>45466</v>
      </c>
      <c r="B116" s="5">
        <v>35.76</v>
      </c>
    </row>
    <row r="117" spans="1:2" x14ac:dyDescent="0.25">
      <c r="A117" s="2">
        <v>45467</v>
      </c>
      <c r="B117" s="5">
        <v>36.903333333333329</v>
      </c>
    </row>
    <row r="118" spans="1:2" x14ac:dyDescent="0.25">
      <c r="A118" s="2">
        <v>45468</v>
      </c>
      <c r="B118" s="5">
        <v>35.269999999999996</v>
      </c>
    </row>
    <row r="119" spans="1:2" x14ac:dyDescent="0.25">
      <c r="A119" s="2">
        <v>45469</v>
      </c>
      <c r="B119" s="5">
        <v>32.82</v>
      </c>
    </row>
    <row r="120" spans="1:2" x14ac:dyDescent="0.25">
      <c r="A120" s="2">
        <v>45470</v>
      </c>
      <c r="B120" s="5">
        <v>32.82</v>
      </c>
    </row>
    <row r="121" spans="1:2" x14ac:dyDescent="0.25">
      <c r="A121" s="2">
        <v>45471</v>
      </c>
      <c r="B121" s="5">
        <v>31.839999999999996</v>
      </c>
    </row>
    <row r="122" spans="1:2" x14ac:dyDescent="0.25">
      <c r="A122" s="2">
        <v>45472</v>
      </c>
      <c r="B122" s="5">
        <v>35.8825</v>
      </c>
    </row>
    <row r="123" spans="1:2" x14ac:dyDescent="0.25">
      <c r="A123" s="2">
        <v>45473</v>
      </c>
      <c r="B123" s="5">
        <v>32.819999999999993</v>
      </c>
    </row>
    <row r="124" spans="1:2" x14ac:dyDescent="0.25">
      <c r="A124" s="2">
        <v>45474</v>
      </c>
      <c r="B124" s="5">
        <v>32.82</v>
      </c>
    </row>
    <row r="125" spans="1:2" x14ac:dyDescent="0.25">
      <c r="A125" s="2">
        <v>45475</v>
      </c>
      <c r="B125" s="5">
        <v>32.00333333333333</v>
      </c>
    </row>
    <row r="126" spans="1:2" x14ac:dyDescent="0.25">
      <c r="A126" s="2">
        <v>45476</v>
      </c>
      <c r="B126" s="5">
        <v>34.453333333333333</v>
      </c>
    </row>
    <row r="127" spans="1:2" x14ac:dyDescent="0.25">
      <c r="A127" s="2">
        <v>45477</v>
      </c>
      <c r="B127" s="5">
        <v>30.37</v>
      </c>
    </row>
    <row r="128" spans="1:2" x14ac:dyDescent="0.25">
      <c r="A128" s="2">
        <v>45478</v>
      </c>
      <c r="B128" s="5">
        <v>30.370000000000005</v>
      </c>
    </row>
    <row r="129" spans="1:5" x14ac:dyDescent="0.25">
      <c r="A129" s="2">
        <v>45479</v>
      </c>
      <c r="B129" s="5">
        <v>32.82</v>
      </c>
    </row>
    <row r="130" spans="1:5" x14ac:dyDescent="0.25">
      <c r="A130" s="2">
        <v>45480</v>
      </c>
      <c r="B130" s="5">
        <v>31.483636363636364</v>
      </c>
    </row>
    <row r="131" spans="1:5" x14ac:dyDescent="0.25">
      <c r="A131" s="2">
        <v>45481</v>
      </c>
      <c r="B131" s="5">
        <v>27.919999999999998</v>
      </c>
    </row>
    <row r="132" spans="1:5" x14ac:dyDescent="0.25">
      <c r="A132" s="2">
        <v>45482</v>
      </c>
      <c r="B132" s="5">
        <v>28.9</v>
      </c>
    </row>
    <row r="133" spans="1:5" x14ac:dyDescent="0.25">
      <c r="A133" s="2">
        <v>45483</v>
      </c>
      <c r="B133" s="5">
        <v>27.92</v>
      </c>
    </row>
    <row r="134" spans="1:5" x14ac:dyDescent="0.25">
      <c r="A134" s="2">
        <v>45484</v>
      </c>
      <c r="B134" s="5">
        <v>29.145000000000003</v>
      </c>
    </row>
    <row r="135" spans="1:5" x14ac:dyDescent="0.25">
      <c r="A135" s="2">
        <v>45485</v>
      </c>
      <c r="B135" s="5">
        <v>30.860000000000003</v>
      </c>
    </row>
    <row r="136" spans="1:5" x14ac:dyDescent="0.25">
      <c r="A136" s="2">
        <v>45486</v>
      </c>
      <c r="B136" s="5">
        <v>32.82</v>
      </c>
    </row>
    <row r="137" spans="1:5" x14ac:dyDescent="0.25">
      <c r="A137" s="2">
        <v>45487</v>
      </c>
      <c r="B137" s="5">
        <v>28.736666666666665</v>
      </c>
    </row>
    <row r="138" spans="1:5" x14ac:dyDescent="0.25">
      <c r="A138" s="2">
        <v>45488</v>
      </c>
      <c r="B138" s="5">
        <v>32.82</v>
      </c>
    </row>
    <row r="139" spans="1:5" x14ac:dyDescent="0.25">
      <c r="A139" s="2">
        <v>45489</v>
      </c>
      <c r="B139" s="5">
        <v>30.37</v>
      </c>
    </row>
    <row r="140" spans="1:5" x14ac:dyDescent="0.25">
      <c r="A140" s="2">
        <v>45490</v>
      </c>
      <c r="B140" s="5">
        <v>27.92</v>
      </c>
      <c r="C140" s="5">
        <v>27.92</v>
      </c>
      <c r="D140" s="5">
        <v>27.92</v>
      </c>
      <c r="E140" s="5">
        <v>27.92</v>
      </c>
    </row>
    <row r="141" spans="1:5" x14ac:dyDescent="0.25">
      <c r="A141" s="2">
        <v>45491</v>
      </c>
      <c r="C141" s="5">
        <f t="shared" ref="C141:C172" si="0">_xlfn.FORECAST.ETS(A141,$B$2:$B$140,$A$2:$A$140,1,1)</f>
        <v>30.396550097473821</v>
      </c>
      <c r="D141" s="5">
        <f t="shared" ref="D141:D172" si="1">C141-_xlfn.FORECAST.ETS.CONFINT(A141,$B$2:$B$140,$A$2:$A$140,0.95,1,1)</f>
        <v>25.952654920754977</v>
      </c>
      <c r="E141" s="5">
        <f t="shared" ref="E141:E172" si="2">C141+_xlfn.FORECAST.ETS.CONFINT(A141,$B$2:$B$140,$A$2:$A$140,0.95,1,1)</f>
        <v>34.84044527419266</v>
      </c>
    </row>
    <row r="142" spans="1:5" x14ac:dyDescent="0.25">
      <c r="A142" s="2">
        <v>45492</v>
      </c>
      <c r="C142" s="5">
        <f t="shared" si="0"/>
        <v>30.357816153683309</v>
      </c>
      <c r="D142" s="5">
        <f t="shared" si="1"/>
        <v>25.878226537491699</v>
      </c>
      <c r="E142" s="5">
        <f t="shared" si="2"/>
        <v>34.83740576987492</v>
      </c>
    </row>
    <row r="143" spans="1:5" x14ac:dyDescent="0.25">
      <c r="A143" s="2">
        <v>45493</v>
      </c>
      <c r="C143" s="5">
        <f t="shared" si="0"/>
        <v>30.319082209892784</v>
      </c>
      <c r="D143" s="5">
        <f t="shared" si="1"/>
        <v>25.803522697559284</v>
      </c>
      <c r="E143" s="5">
        <f t="shared" si="2"/>
        <v>34.83464172222628</v>
      </c>
    </row>
    <row r="144" spans="1:5" x14ac:dyDescent="0.25">
      <c r="A144" s="2">
        <v>45494</v>
      </c>
      <c r="C144" s="5">
        <f t="shared" si="0"/>
        <v>30.280348266102269</v>
      </c>
      <c r="D144" s="5">
        <f t="shared" si="1"/>
        <v>25.728545592668898</v>
      </c>
      <c r="E144" s="5">
        <f t="shared" si="2"/>
        <v>34.832150939535644</v>
      </c>
    </row>
    <row r="145" spans="1:5" x14ac:dyDescent="0.25">
      <c r="A145" s="2">
        <v>45495</v>
      </c>
      <c r="C145" s="5">
        <f t="shared" si="0"/>
        <v>30.241614322311744</v>
      </c>
      <c r="D145" s="5">
        <f t="shared" si="1"/>
        <v>25.653297394368629</v>
      </c>
      <c r="E145" s="5">
        <f t="shared" si="2"/>
        <v>34.829931250254859</v>
      </c>
    </row>
    <row r="146" spans="1:5" x14ac:dyDescent="0.25">
      <c r="A146" s="2">
        <v>45496</v>
      </c>
      <c r="C146" s="5">
        <f t="shared" si="0"/>
        <v>30.202880378521233</v>
      </c>
      <c r="D146" s="5">
        <f t="shared" si="1"/>
        <v>25.577780253555648</v>
      </c>
      <c r="E146" s="5">
        <f t="shared" si="2"/>
        <v>34.827980503486813</v>
      </c>
    </row>
    <row r="147" spans="1:5" x14ac:dyDescent="0.25">
      <c r="A147" s="2">
        <v>45497</v>
      </c>
      <c r="C147" s="5">
        <f t="shared" si="0"/>
        <v>30.164146434730707</v>
      </c>
      <c r="D147" s="5">
        <f t="shared" si="1"/>
        <v>25.501996300039007</v>
      </c>
      <c r="E147" s="5">
        <f t="shared" si="2"/>
        <v>34.826296569422404</v>
      </c>
    </row>
    <row r="148" spans="1:5" x14ac:dyDescent="0.25">
      <c r="A148" s="2">
        <v>45498</v>
      </c>
      <c r="C148" s="5">
        <f t="shared" si="0"/>
        <v>30.125412490940196</v>
      </c>
      <c r="D148" s="5">
        <f t="shared" si="1"/>
        <v>25.42594764215097</v>
      </c>
      <c r="E148" s="5">
        <f t="shared" si="2"/>
        <v>34.824877339729419</v>
      </c>
    </row>
    <row r="149" spans="1:5" x14ac:dyDescent="0.25">
      <c r="A149" s="2">
        <v>45499</v>
      </c>
      <c r="C149" s="5">
        <f t="shared" si="0"/>
        <v>30.08667854714967</v>
      </c>
      <c r="D149" s="5">
        <f t="shared" si="1"/>
        <v>25.349636366403917</v>
      </c>
      <c r="E149" s="5">
        <f t="shared" si="2"/>
        <v>34.82372072789542</v>
      </c>
    </row>
    <row r="150" spans="1:5" x14ac:dyDescent="0.25">
      <c r="A150" s="2">
        <v>45500</v>
      </c>
      <c r="C150" s="5">
        <f t="shared" si="0"/>
        <v>30.047944603359159</v>
      </c>
      <c r="D150" s="5">
        <f t="shared" si="1"/>
        <v>25.273064537190866</v>
      </c>
      <c r="E150" s="5">
        <f t="shared" si="2"/>
        <v>34.822824669527449</v>
      </c>
    </row>
    <row r="151" spans="1:5" x14ac:dyDescent="0.25">
      <c r="A151" s="2">
        <v>45501</v>
      </c>
      <c r="C151" s="5">
        <f t="shared" si="0"/>
        <v>30.009210659568634</v>
      </c>
      <c r="D151" s="5">
        <f t="shared" si="1"/>
        <v>25.196234196526792</v>
      </c>
      <c r="E151" s="5">
        <f t="shared" si="2"/>
        <v>34.822187122610472</v>
      </c>
    </row>
    <row r="152" spans="1:5" x14ac:dyDescent="0.25">
      <c r="A152" s="2">
        <v>45502</v>
      </c>
      <c r="C152" s="5">
        <f t="shared" si="0"/>
        <v>29.970476715778123</v>
      </c>
      <c r="D152" s="5">
        <f t="shared" si="1"/>
        <v>25.119147363828962</v>
      </c>
      <c r="E152" s="5">
        <f t="shared" si="2"/>
        <v>34.82180606772728</v>
      </c>
    </row>
    <row r="153" spans="1:5" x14ac:dyDescent="0.25">
      <c r="A153" s="2">
        <v>45503</v>
      </c>
      <c r="C153" s="5">
        <f t="shared" si="0"/>
        <v>29.931742771987594</v>
      </c>
      <c r="D153" s="5">
        <f t="shared" si="1"/>
        <v>25.041806035733622</v>
      </c>
      <c r="E153" s="5">
        <f t="shared" si="2"/>
        <v>34.821679508241566</v>
      </c>
    </row>
    <row r="154" spans="1:5" x14ac:dyDescent="0.25">
      <c r="A154" s="2">
        <v>45504</v>
      </c>
      <c r="C154" s="5">
        <f t="shared" si="0"/>
        <v>29.893008828197082</v>
      </c>
      <c r="D154" s="5">
        <f t="shared" si="1"/>
        <v>24.964212185947428</v>
      </c>
      <c r="E154" s="5">
        <f t="shared" si="2"/>
        <v>34.821805470446733</v>
      </c>
    </row>
    <row r="155" spans="1:5" x14ac:dyDescent="0.25">
      <c r="A155" s="2">
        <v>45505</v>
      </c>
      <c r="C155" s="5">
        <f t="shared" si="0"/>
        <v>29.854274884406557</v>
      </c>
      <c r="D155" s="5">
        <f t="shared" si="1"/>
        <v>24.88636776513107</v>
      </c>
      <c r="E155" s="5">
        <f t="shared" si="2"/>
        <v>34.822182003682045</v>
      </c>
    </row>
    <row r="156" spans="1:5" x14ac:dyDescent="0.25">
      <c r="A156" s="2">
        <v>45506</v>
      </c>
      <c r="C156" s="5">
        <f t="shared" si="0"/>
        <v>29.815540940616046</v>
      </c>
      <c r="D156" s="5">
        <f t="shared" si="1"/>
        <v>24.808274700813662</v>
      </c>
      <c r="E156" s="5">
        <f t="shared" si="2"/>
        <v>34.82280718041843</v>
      </c>
    </row>
    <row r="157" spans="1:5" x14ac:dyDescent="0.25">
      <c r="A157" s="2">
        <v>45507</v>
      </c>
      <c r="C157" s="5">
        <f t="shared" si="0"/>
        <v>29.77680699682552</v>
      </c>
      <c r="D157" s="5">
        <f t="shared" si="1"/>
        <v>24.729934897335575</v>
      </c>
      <c r="E157" s="5">
        <f t="shared" si="2"/>
        <v>34.823679096315466</v>
      </c>
    </row>
    <row r="158" spans="1:5" x14ac:dyDescent="0.25">
      <c r="A158" s="2">
        <v>45508</v>
      </c>
      <c r="C158" s="5">
        <f t="shared" si="0"/>
        <v>29.738073053035009</v>
      </c>
      <c r="D158" s="5">
        <f t="shared" si="1"/>
        <v>24.651350235818335</v>
      </c>
      <c r="E158" s="5">
        <f t="shared" si="2"/>
        <v>34.824795870251684</v>
      </c>
    </row>
    <row r="159" spans="1:5" x14ac:dyDescent="0.25">
      <c r="A159" s="2">
        <v>45509</v>
      </c>
      <c r="C159" s="5">
        <f t="shared" si="0"/>
        <v>29.699339109244484</v>
      </c>
      <c r="D159" s="5">
        <f t="shared" si="1"/>
        <v>24.572522574159429</v>
      </c>
      <c r="E159" s="5">
        <f t="shared" si="2"/>
        <v>34.826155644329539</v>
      </c>
    </row>
    <row r="160" spans="1:5" x14ac:dyDescent="0.25">
      <c r="A160" s="2">
        <v>45510</v>
      </c>
      <c r="C160" s="5">
        <f t="shared" si="0"/>
        <v>29.660605165453969</v>
      </c>
      <c r="D160" s="5">
        <f t="shared" si="1"/>
        <v>24.493453747050882</v>
      </c>
      <c r="E160" s="5">
        <f t="shared" si="2"/>
        <v>34.827756583857052</v>
      </c>
    </row>
    <row r="161" spans="1:5" x14ac:dyDescent="0.25">
      <c r="A161" s="2">
        <v>45511</v>
      </c>
      <c r="C161" s="5">
        <f t="shared" si="0"/>
        <v>29.621871221663444</v>
      </c>
      <c r="D161" s="5">
        <f t="shared" si="1"/>
        <v>24.414145566019517</v>
      </c>
      <c r="E161" s="5">
        <f t="shared" si="2"/>
        <v>34.829596877307367</v>
      </c>
    </row>
    <row r="162" spans="1:5" x14ac:dyDescent="0.25">
      <c r="A162" s="2">
        <v>45512</v>
      </c>
      <c r="C162" s="5">
        <f t="shared" si="0"/>
        <v>29.583137277872932</v>
      </c>
      <c r="D162" s="5">
        <f t="shared" si="1"/>
        <v>24.334599819487881</v>
      </c>
      <c r="E162" s="5">
        <f t="shared" si="2"/>
        <v>34.83167473625798</v>
      </c>
    </row>
    <row r="163" spans="1:5" x14ac:dyDescent="0.25">
      <c r="A163" s="2">
        <v>45513</v>
      </c>
      <c r="C163" s="5">
        <f t="shared" si="0"/>
        <v>29.544403334082407</v>
      </c>
      <c r="D163" s="5">
        <f t="shared" si="1"/>
        <v>24.254818272853989</v>
      </c>
      <c r="E163" s="5">
        <f t="shared" si="2"/>
        <v>34.833988395310826</v>
      </c>
    </row>
    <row r="164" spans="1:5" x14ac:dyDescent="0.25">
      <c r="A164" s="2">
        <v>45514</v>
      </c>
      <c r="C164" s="5">
        <f t="shared" si="0"/>
        <v>29.505669390291896</v>
      </c>
      <c r="D164" s="5">
        <f t="shared" si="1"/>
        <v>24.174802668588928</v>
      </c>
      <c r="E164" s="5">
        <f t="shared" si="2"/>
        <v>34.83653611199486</v>
      </c>
    </row>
    <row r="165" spans="1:5" x14ac:dyDescent="0.25">
      <c r="A165" s="2">
        <v>45515</v>
      </c>
      <c r="C165" s="5">
        <f t="shared" si="0"/>
        <v>29.46693544650137</v>
      </c>
      <c r="D165" s="5">
        <f t="shared" si="1"/>
        <v>24.094554726350609</v>
      </c>
      <c r="E165" s="5">
        <f t="shared" si="2"/>
        <v>34.839316166652132</v>
      </c>
    </row>
    <row r="166" spans="1:5" x14ac:dyDescent="0.25">
      <c r="A166" s="2">
        <v>45516</v>
      </c>
      <c r="C166" s="5">
        <f t="shared" si="0"/>
        <v>29.428201502710859</v>
      </c>
      <c r="D166" s="5">
        <f t="shared" si="1"/>
        <v>24.014076143112884</v>
      </c>
      <c r="E166" s="5">
        <f t="shared" si="2"/>
        <v>34.842326862308838</v>
      </c>
    </row>
    <row r="167" spans="1:5" x14ac:dyDescent="0.25">
      <c r="A167" s="2">
        <v>45517</v>
      </c>
      <c r="C167" s="5">
        <f t="shared" si="0"/>
        <v>29.389467558920334</v>
      </c>
      <c r="D167" s="5">
        <f t="shared" si="1"/>
        <v>23.933368593308387</v>
      </c>
      <c r="E167" s="5">
        <f t="shared" si="2"/>
        <v>34.845566524532281</v>
      </c>
    </row>
    <row r="168" spans="1:5" x14ac:dyDescent="0.25">
      <c r="A168" s="2">
        <v>45518</v>
      </c>
      <c r="C168" s="5">
        <f t="shared" si="0"/>
        <v>29.350733615129823</v>
      </c>
      <c r="D168" s="5">
        <f t="shared" si="1"/>
        <v>23.85243372898449</v>
      </c>
      <c r="E168" s="5">
        <f t="shared" si="2"/>
        <v>34.849033501275159</v>
      </c>
    </row>
    <row r="169" spans="1:5" x14ac:dyDescent="0.25">
      <c r="A169" s="2">
        <v>45519</v>
      </c>
      <c r="C169" s="5">
        <f t="shared" si="0"/>
        <v>29.311999671339294</v>
      </c>
      <c r="D169" s="5">
        <f t="shared" si="1"/>
        <v>23.771273179970791</v>
      </c>
      <c r="E169" s="5">
        <f t="shared" si="2"/>
        <v>34.852726162707796</v>
      </c>
    </row>
    <row r="170" spans="1:5" x14ac:dyDescent="0.25">
      <c r="A170" s="2">
        <v>45520</v>
      </c>
      <c r="C170" s="5">
        <f t="shared" si="0"/>
        <v>29.273265727548782</v>
      </c>
      <c r="D170" s="5">
        <f t="shared" si="1"/>
        <v>23.689888554057706</v>
      </c>
      <c r="E170" s="5">
        <f t="shared" si="2"/>
        <v>34.856642901039862</v>
      </c>
    </row>
    <row r="171" spans="1:5" x14ac:dyDescent="0.25">
      <c r="A171" s="2">
        <v>45521</v>
      </c>
      <c r="C171" s="5">
        <f t="shared" si="0"/>
        <v>29.234531783758257</v>
      </c>
      <c r="D171" s="5">
        <f t="shared" si="1"/>
        <v>23.608281437184623</v>
      </c>
      <c r="E171" s="5">
        <f t="shared" si="2"/>
        <v>34.860782130331891</v>
      </c>
    </row>
    <row r="172" spans="1:5" x14ac:dyDescent="0.25">
      <c r="A172" s="2">
        <v>45522</v>
      </c>
      <c r="C172" s="5">
        <f t="shared" si="0"/>
        <v>29.195797839967746</v>
      </c>
      <c r="D172" s="5">
        <f t="shared" si="1"/>
        <v>23.526453393637318</v>
      </c>
      <c r="E172" s="5">
        <f t="shared" si="2"/>
        <v>34.865142286298173</v>
      </c>
    </row>
    <row r="173" spans="1:5" x14ac:dyDescent="0.25">
      <c r="A173" s="2">
        <v>45523</v>
      </c>
      <c r="C173" s="5">
        <f t="shared" ref="C173:C204" si="3">_xlfn.FORECAST.ETS(A173,$B$2:$B$140,$A$2:$A$140,1,1)</f>
        <v>29.15706389617722</v>
      </c>
      <c r="D173" s="5">
        <f t="shared" ref="D173:D204" si="4">C173-_xlfn.FORECAST.ETS.CONFINT(A173,$B$2:$B$140,$A$2:$A$140,0.95,1,1)</f>
        <v>23.444405966253271</v>
      </c>
      <c r="E173" s="5">
        <f t="shared" ref="E173:E204" si="5">C173+_xlfn.FORECAST.ETS.CONFINT(A173,$B$2:$B$140,$A$2:$A$140,0.95,1,1)</f>
        <v>34.86972182610117</v>
      </c>
    </row>
    <row r="174" spans="1:5" x14ac:dyDescent="0.25">
      <c r="A174" s="2">
        <v>45524</v>
      </c>
      <c r="C174" s="5">
        <f t="shared" si="3"/>
        <v>29.118329952386709</v>
      </c>
      <c r="D174" s="5">
        <f t="shared" si="4"/>
        <v>23.36214067663451</v>
      </c>
      <c r="E174" s="5">
        <f t="shared" si="5"/>
        <v>34.874519228138908</v>
      </c>
    </row>
    <row r="175" spans="1:5" x14ac:dyDescent="0.25">
      <c r="A175" s="2">
        <v>45525</v>
      </c>
      <c r="C175" s="5">
        <f t="shared" si="3"/>
        <v>29.079596008596184</v>
      </c>
      <c r="D175" s="5">
        <f t="shared" si="4"/>
        <v>23.279659025366861</v>
      </c>
      <c r="E175" s="5">
        <f t="shared" si="5"/>
        <v>34.879532991825506</v>
      </c>
    </row>
    <row r="176" spans="1:5" x14ac:dyDescent="0.25">
      <c r="A176" s="2">
        <v>45526</v>
      </c>
      <c r="C176" s="5">
        <f t="shared" si="3"/>
        <v>29.040862064805669</v>
      </c>
      <c r="D176" s="5">
        <f t="shared" si="4"/>
        <v>23.196962492245277</v>
      </c>
      <c r="E176" s="5">
        <f t="shared" si="5"/>
        <v>34.884761637366061</v>
      </c>
    </row>
    <row r="177" spans="1:5" x14ac:dyDescent="0.25">
      <c r="A177" s="2">
        <v>45527</v>
      </c>
      <c r="C177" s="5">
        <f t="shared" si="3"/>
        <v>29.002128121015144</v>
      </c>
      <c r="D177" s="5">
        <f t="shared" si="4"/>
        <v>23.114052536504172</v>
      </c>
      <c r="E177" s="5">
        <f t="shared" si="5"/>
        <v>34.890203705526119</v>
      </c>
    </row>
    <row r="178" spans="1:5" x14ac:dyDescent="0.25">
      <c r="A178" s="2">
        <v>45528</v>
      </c>
      <c r="C178" s="5">
        <f t="shared" si="3"/>
        <v>28.963394177224632</v>
      </c>
      <c r="D178" s="5">
        <f t="shared" si="4"/>
        <v>23.030930597052571</v>
      </c>
      <c r="E178" s="5">
        <f t="shared" si="5"/>
        <v>34.895857757396698</v>
      </c>
    </row>
    <row r="179" spans="1:5" x14ac:dyDescent="0.25">
      <c r="A179" s="2">
        <v>45529</v>
      </c>
      <c r="C179" s="5">
        <f t="shared" si="3"/>
        <v>28.924660233434107</v>
      </c>
      <c r="D179" s="5">
        <f t="shared" si="4"/>
        <v>22.947598092713022</v>
      </c>
      <c r="E179" s="5">
        <f t="shared" si="5"/>
        <v>34.901722374155192</v>
      </c>
    </row>
    <row r="180" spans="1:5" x14ac:dyDescent="0.25">
      <c r="A180" s="2">
        <v>45530</v>
      </c>
      <c r="C180" s="5">
        <f t="shared" si="3"/>
        <v>28.885926289643596</v>
      </c>
      <c r="D180" s="5">
        <f t="shared" si="4"/>
        <v>22.864056422464202</v>
      </c>
      <c r="E180" s="5">
        <f t="shared" si="5"/>
        <v>34.90779615682299</v>
      </c>
    </row>
    <row r="181" spans="1:5" x14ac:dyDescent="0.25">
      <c r="A181" s="2">
        <v>45531</v>
      </c>
      <c r="C181" s="5">
        <f t="shared" si="3"/>
        <v>28.84719234585307</v>
      </c>
      <c r="D181" s="5">
        <f t="shared" si="4"/>
        <v>22.780306965686236</v>
      </c>
      <c r="E181" s="5">
        <f t="shared" si="5"/>
        <v>34.914077726019904</v>
      </c>
    </row>
    <row r="182" spans="1:5" x14ac:dyDescent="0.25">
      <c r="A182" s="2">
        <v>45532</v>
      </c>
      <c r="C182" s="5">
        <f t="shared" si="3"/>
        <v>28.808458402062559</v>
      </c>
      <c r="D182" s="5">
        <f t="shared" si="4"/>
        <v>22.696351082408661</v>
      </c>
      <c r="E182" s="5">
        <f t="shared" si="5"/>
        <v>34.920565721716457</v>
      </c>
    </row>
    <row r="183" spans="1:5" x14ac:dyDescent="0.25">
      <c r="A183" s="2">
        <v>45533</v>
      </c>
      <c r="C183" s="5">
        <f t="shared" si="3"/>
        <v>28.769724458272034</v>
      </c>
      <c r="D183" s="5">
        <f t="shared" si="4"/>
        <v>22.612190113560189</v>
      </c>
      <c r="E183" s="5">
        <f t="shared" si="5"/>
        <v>34.927258802983879</v>
      </c>
    </row>
    <row r="184" spans="1:5" x14ac:dyDescent="0.25">
      <c r="A184" s="2">
        <v>45534</v>
      </c>
      <c r="C184" s="5">
        <f t="shared" si="3"/>
        <v>28.730990514481523</v>
      </c>
      <c r="D184" s="5">
        <f t="shared" si="4"/>
        <v>22.527825381220261</v>
      </c>
      <c r="E184" s="5">
        <f t="shared" si="5"/>
        <v>34.934155647742784</v>
      </c>
    </row>
    <row r="185" spans="1:5" x14ac:dyDescent="0.25">
      <c r="A185" s="2">
        <v>45535</v>
      </c>
      <c r="C185" s="5">
        <f t="shared" si="3"/>
        <v>28.692256570690994</v>
      </c>
      <c r="D185" s="5">
        <f t="shared" si="4"/>
        <v>22.443258188871525</v>
      </c>
      <c r="E185" s="5">
        <f t="shared" si="5"/>
        <v>34.941254952510462</v>
      </c>
    </row>
    <row r="186" spans="1:5" x14ac:dyDescent="0.25">
      <c r="A186" s="2">
        <v>45536</v>
      </c>
      <c r="C186" s="5">
        <f t="shared" si="3"/>
        <v>28.653522626900482</v>
      </c>
      <c r="D186" s="5">
        <f t="shared" si="4"/>
        <v>22.3584898216534</v>
      </c>
      <c r="E186" s="5">
        <f t="shared" si="5"/>
        <v>34.948555432147565</v>
      </c>
    </row>
    <row r="187" spans="1:5" x14ac:dyDescent="0.25">
      <c r="A187" s="2">
        <v>45537</v>
      </c>
      <c r="C187" s="5">
        <f t="shared" si="3"/>
        <v>28.614788683109957</v>
      </c>
      <c r="D187" s="5">
        <f t="shared" si="4"/>
        <v>22.2735215466158</v>
      </c>
      <c r="E187" s="5">
        <f t="shared" si="5"/>
        <v>34.95605581960411</v>
      </c>
    </row>
    <row r="188" spans="1:5" x14ac:dyDescent="0.25">
      <c r="A188" s="2">
        <v>45538</v>
      </c>
      <c r="C188" s="5">
        <f t="shared" si="3"/>
        <v>28.576054739319446</v>
      </c>
      <c r="D188" s="5">
        <f t="shared" si="4"/>
        <v>22.188354612973306</v>
      </c>
      <c r="E188" s="5">
        <f t="shared" si="5"/>
        <v>34.963754865665585</v>
      </c>
    </row>
    <row r="189" spans="1:5" x14ac:dyDescent="0.25">
      <c r="A189" s="2">
        <v>45539</v>
      </c>
      <c r="C189" s="5">
        <f t="shared" si="3"/>
        <v>28.53732079552892</v>
      </c>
      <c r="D189" s="5">
        <f t="shared" si="4"/>
        <v>22.102990252358889</v>
      </c>
      <c r="E189" s="5">
        <f t="shared" si="5"/>
        <v>34.971651338698948</v>
      </c>
    </row>
    <row r="190" spans="1:5" x14ac:dyDescent="0.25">
      <c r="A190" s="2">
        <v>45540</v>
      </c>
      <c r="C190" s="5">
        <f t="shared" si="3"/>
        <v>28.498586851738409</v>
      </c>
      <c r="D190" s="5">
        <f t="shared" si="4"/>
        <v>22.01742967907748</v>
      </c>
      <c r="E190" s="5">
        <f t="shared" si="5"/>
        <v>34.979744024399338</v>
      </c>
    </row>
    <row r="191" spans="1:5" x14ac:dyDescent="0.25">
      <c r="A191" s="2">
        <v>45541</v>
      </c>
      <c r="C191" s="5">
        <f t="shared" si="3"/>
        <v>28.459852907947884</v>
      </c>
      <c r="D191" s="5">
        <f t="shared" si="4"/>
        <v>21.931674090358584</v>
      </c>
      <c r="E191" s="5">
        <f t="shared" si="5"/>
        <v>34.988031725537184</v>
      </c>
    </row>
    <row r="192" spans="1:5" x14ac:dyDescent="0.25">
      <c r="A192" s="2">
        <v>45542</v>
      </c>
      <c r="C192" s="5">
        <f t="shared" si="3"/>
        <v>28.421118964157369</v>
      </c>
      <c r="D192" s="5">
        <f t="shared" si="4"/>
        <v>21.845724666608234</v>
      </c>
      <c r="E192" s="5">
        <f t="shared" si="5"/>
        <v>34.996513261706504</v>
      </c>
    </row>
    <row r="193" spans="1:5" x14ac:dyDescent="0.25">
      <c r="A193" s="2">
        <v>45543</v>
      </c>
      <c r="C193" s="5">
        <f t="shared" si="3"/>
        <v>28.382385020366844</v>
      </c>
      <c r="D193" s="5">
        <f t="shared" si="4"/>
        <v>21.759582571659575</v>
      </c>
      <c r="E193" s="5">
        <f t="shared" si="5"/>
        <v>35.005187469074109</v>
      </c>
    </row>
    <row r="194" spans="1:5" x14ac:dyDescent="0.25">
      <c r="A194" s="2">
        <v>45544</v>
      </c>
      <c r="C194" s="5">
        <f t="shared" si="3"/>
        <v>28.343651076576332</v>
      </c>
      <c r="D194" s="5">
        <f t="shared" si="4"/>
        <v>21.673248953022291</v>
      </c>
      <c r="E194" s="5">
        <f t="shared" si="5"/>
        <v>35.014053200130377</v>
      </c>
    </row>
    <row r="195" spans="1:5" x14ac:dyDescent="0.25">
      <c r="A195" s="2">
        <v>45545</v>
      </c>
      <c r="C195" s="5">
        <f t="shared" si="3"/>
        <v>28.304917132785807</v>
      </c>
      <c r="D195" s="5">
        <f t="shared" si="4"/>
        <v>21.586724942130331</v>
      </c>
      <c r="E195" s="5">
        <f t="shared" si="5"/>
        <v>35.023109323441282</v>
      </c>
    </row>
    <row r="196" spans="1:5" x14ac:dyDescent="0.25">
      <c r="A196" s="2">
        <v>45546</v>
      </c>
      <c r="C196" s="5">
        <f t="shared" si="3"/>
        <v>28.266183188995296</v>
      </c>
      <c r="D196" s="5">
        <f t="shared" si="4"/>
        <v>21.500011654588153</v>
      </c>
      <c r="E196" s="5">
        <f t="shared" si="5"/>
        <v>35.032354723402435</v>
      </c>
    </row>
    <row r="197" spans="1:5" x14ac:dyDescent="0.25">
      <c r="A197" s="2">
        <v>45547</v>
      </c>
      <c r="C197" s="5">
        <f t="shared" si="3"/>
        <v>28.22744924520477</v>
      </c>
      <c r="D197" s="5">
        <f t="shared" si="4"/>
        <v>21.413110190414876</v>
      </c>
      <c r="E197" s="5">
        <f t="shared" si="5"/>
        <v>35.041788299994664</v>
      </c>
    </row>
    <row r="198" spans="1:5" x14ac:dyDescent="0.25">
      <c r="A198" s="2">
        <v>45548</v>
      </c>
      <c r="C198" s="5">
        <f t="shared" si="3"/>
        <v>28.188715301414259</v>
      </c>
      <c r="D198" s="5">
        <f t="shared" si="4"/>
        <v>21.32602163428669</v>
      </c>
      <c r="E198" s="5">
        <f t="shared" si="5"/>
        <v>35.051408968541828</v>
      </c>
    </row>
    <row r="199" spans="1:5" x14ac:dyDescent="0.25">
      <c r="A199" s="2">
        <v>45549</v>
      </c>
      <c r="C199" s="5">
        <f t="shared" si="3"/>
        <v>28.149981357623734</v>
      </c>
      <c r="D199" s="5">
        <f t="shared" si="4"/>
        <v>21.238747055776901</v>
      </c>
      <c r="E199" s="5">
        <f t="shared" si="5"/>
        <v>35.061215659470562</v>
      </c>
    </row>
    <row r="200" spans="1:5" x14ac:dyDescent="0.25">
      <c r="A200" s="2">
        <v>45550</v>
      </c>
      <c r="C200" s="5">
        <f t="shared" si="3"/>
        <v>28.111247413833222</v>
      </c>
      <c r="D200" s="5">
        <f t="shared" si="4"/>
        <v>21.151287509593992</v>
      </c>
      <c r="E200" s="5">
        <f t="shared" si="5"/>
        <v>35.071207318072453</v>
      </c>
    </row>
    <row r="201" spans="1:5" x14ac:dyDescent="0.25">
      <c r="A201" s="2">
        <v>45551</v>
      </c>
      <c r="C201" s="5">
        <f t="shared" si="3"/>
        <v>28.072513470042693</v>
      </c>
      <c r="D201" s="5">
        <f t="shared" si="4"/>
        <v>21.063644035817084</v>
      </c>
      <c r="E201" s="5">
        <f t="shared" si="5"/>
        <v>35.081382904268303</v>
      </c>
    </row>
    <row r="202" spans="1:5" x14ac:dyDescent="0.25">
      <c r="A202" s="2">
        <v>45552</v>
      </c>
      <c r="C202" s="5">
        <f t="shared" si="3"/>
        <v>28.033779526252182</v>
      </c>
      <c r="D202" s="5">
        <f t="shared" si="4"/>
        <v>20.975817660129238</v>
      </c>
      <c r="E202" s="5">
        <f t="shared" si="5"/>
        <v>35.091741392375127</v>
      </c>
    </row>
    <row r="203" spans="1:5" x14ac:dyDescent="0.25">
      <c r="A203" s="2">
        <v>45553</v>
      </c>
      <c r="C203" s="5">
        <f t="shared" si="3"/>
        <v>27.995045582461657</v>
      </c>
      <c r="D203" s="5">
        <f t="shared" si="4"/>
        <v>20.887809394047945</v>
      </c>
      <c r="E203" s="5">
        <f t="shared" si="5"/>
        <v>35.102281770875372</v>
      </c>
    </row>
    <row r="204" spans="1:5" x14ac:dyDescent="0.25">
      <c r="A204" s="2">
        <v>45554</v>
      </c>
      <c r="C204" s="5">
        <f t="shared" si="3"/>
        <v>27.956311638671146</v>
      </c>
      <c r="D204" s="5">
        <f t="shared" si="4"/>
        <v>20.799620235153309</v>
      </c>
      <c r="E204" s="5">
        <f t="shared" si="5"/>
        <v>35.113003042188978</v>
      </c>
    </row>
    <row r="205" spans="1:5" x14ac:dyDescent="0.25">
      <c r="A205" s="2">
        <v>45555</v>
      </c>
      <c r="C205" s="5">
        <f t="shared" ref="C205:C236" si="6">_xlfn.FORECAST.ETS(A205,$B$2:$B$140,$A$2:$A$140,1,1)</f>
        <v>27.91757769488062</v>
      </c>
      <c r="D205" s="5">
        <f t="shared" ref="D205:D236" si="7">C205-_xlfn.FORECAST.ETS.CONFINT(A205,$B$2:$B$140,$A$2:$A$140,0.95,1,1)</f>
        <v>20.711251167313321</v>
      </c>
      <c r="E205" s="5">
        <f t="shared" ref="E205:E236" si="8">C205+_xlfn.FORECAST.ETS.CONFINT(A205,$B$2:$B$140,$A$2:$A$140,0.95,1,1)</f>
        <v>35.123904222447919</v>
      </c>
    </row>
    <row r="206" spans="1:5" x14ac:dyDescent="0.25">
      <c r="A206" s="2">
        <v>45556</v>
      </c>
      <c r="C206" s="5">
        <f t="shared" si="6"/>
        <v>27.878843751090109</v>
      </c>
      <c r="D206" s="5">
        <f t="shared" si="7"/>
        <v>20.622703160906614</v>
      </c>
      <c r="E206" s="5">
        <f t="shared" si="8"/>
        <v>35.134984341273601</v>
      </c>
    </row>
    <row r="207" spans="1:5" x14ac:dyDescent="0.25">
      <c r="A207" s="2">
        <v>45557</v>
      </c>
      <c r="C207" s="5">
        <f t="shared" si="6"/>
        <v>27.840109807299584</v>
      </c>
      <c r="D207" s="5">
        <f t="shared" si="7"/>
        <v>20.533977173042278</v>
      </c>
      <c r="E207" s="5">
        <f t="shared" si="8"/>
        <v>35.146242441556893</v>
      </c>
    </row>
    <row r="208" spans="1:5" x14ac:dyDescent="0.25">
      <c r="A208" s="2">
        <v>45558</v>
      </c>
      <c r="C208" s="5">
        <f t="shared" si="6"/>
        <v>27.801375863509069</v>
      </c>
      <c r="D208" s="5">
        <f t="shared" si="7"/>
        <v>20.445074147777021</v>
      </c>
      <c r="E208" s="5">
        <f t="shared" si="8"/>
        <v>35.157677579241117</v>
      </c>
    </row>
    <row r="209" spans="1:5" x14ac:dyDescent="0.25">
      <c r="A209" s="2">
        <v>45559</v>
      </c>
      <c r="C209" s="5">
        <f t="shared" si="6"/>
        <v>27.762641919718543</v>
      </c>
      <c r="D209" s="5">
        <f t="shared" si="7"/>
        <v>20.355995016329317</v>
      </c>
      <c r="E209" s="5">
        <f t="shared" si="8"/>
        <v>35.16928882310777</v>
      </c>
    </row>
    <row r="210" spans="1:5" x14ac:dyDescent="0.25">
      <c r="A210" s="2">
        <v>45560</v>
      </c>
      <c r="C210" s="5">
        <f t="shared" si="6"/>
        <v>27.723907975928032</v>
      </c>
      <c r="D210" s="5">
        <f t="shared" si="7"/>
        <v>20.266740697290853</v>
      </c>
      <c r="E210" s="5">
        <f t="shared" si="8"/>
        <v>35.181075254565208</v>
      </c>
    </row>
    <row r="211" spans="1:5" x14ac:dyDescent="0.25">
      <c r="A211" s="2">
        <v>45561</v>
      </c>
      <c r="C211" s="5">
        <f t="shared" si="6"/>
        <v>27.685174032137507</v>
      </c>
      <c r="D211" s="5">
        <f t="shared" si="7"/>
        <v>20.177312096834861</v>
      </c>
      <c r="E211" s="5">
        <f t="shared" si="8"/>
        <v>35.193035967440153</v>
      </c>
    </row>
    <row r="212" spans="1:5" x14ac:dyDescent="0.25">
      <c r="A212" s="2">
        <v>45562</v>
      </c>
      <c r="C212" s="5">
        <f t="shared" si="6"/>
        <v>27.646440088346996</v>
      </c>
      <c r="D212" s="5">
        <f t="shared" si="7"/>
        <v>20.08771010892174</v>
      </c>
      <c r="E212" s="5">
        <f t="shared" si="8"/>
        <v>35.205170067772251</v>
      </c>
    </row>
    <row r="213" spans="1:5" x14ac:dyDescent="0.25">
      <c r="A213" s="2">
        <v>45563</v>
      </c>
      <c r="C213" s="5">
        <f t="shared" si="6"/>
        <v>27.60770614455647</v>
      </c>
      <c r="D213" s="5">
        <f t="shared" si="7"/>
        <v>19.997935615501554</v>
      </c>
      <c r="E213" s="5">
        <f t="shared" si="8"/>
        <v>35.217476673611387</v>
      </c>
    </row>
    <row r="214" spans="1:5" x14ac:dyDescent="0.25">
      <c r="A214" s="2">
        <v>45564</v>
      </c>
      <c r="C214" s="5">
        <f t="shared" si="6"/>
        <v>27.568972200765959</v>
      </c>
      <c r="D214" s="5">
        <f t="shared" si="7"/>
        <v>19.907989486713731</v>
      </c>
      <c r="E214" s="5">
        <f t="shared" si="8"/>
        <v>35.229954914818187</v>
      </c>
    </row>
    <row r="215" spans="1:5" x14ac:dyDescent="0.25">
      <c r="A215" s="2">
        <v>45565</v>
      </c>
      <c r="C215" s="5">
        <f t="shared" si="6"/>
        <v>27.530238256975434</v>
      </c>
      <c r="D215" s="5">
        <f t="shared" si="7"/>
        <v>19.817872581083659</v>
      </c>
      <c r="E215" s="5">
        <f t="shared" si="8"/>
        <v>35.242603932867212</v>
      </c>
    </row>
    <row r="216" spans="1:5" x14ac:dyDescent="0.25">
      <c r="A216" s="2">
        <v>45566</v>
      </c>
      <c r="C216" s="5">
        <f t="shared" si="6"/>
        <v>27.491504313184922</v>
      </c>
      <c r="D216" s="5">
        <f t="shared" si="7"/>
        <v>19.727585745716482</v>
      </c>
      <c r="E216" s="5">
        <f t="shared" si="8"/>
        <v>35.255422880653363</v>
      </c>
    </row>
    <row r="217" spans="1:5" x14ac:dyDescent="0.25">
      <c r="A217" s="2">
        <v>45567</v>
      </c>
      <c r="C217" s="5">
        <f t="shared" si="6"/>
        <v>27.452770369394393</v>
      </c>
      <c r="D217" s="5">
        <f t="shared" si="7"/>
        <v>19.637129816487771</v>
      </c>
      <c r="E217" s="5">
        <f t="shared" si="8"/>
        <v>35.268410922301015</v>
      </c>
    </row>
    <row r="218" spans="1:5" x14ac:dyDescent="0.25">
      <c r="A218" s="2">
        <v>45568</v>
      </c>
      <c r="C218" s="5">
        <f t="shared" si="6"/>
        <v>27.414036425603882</v>
      </c>
      <c r="D218" s="5">
        <f t="shared" si="7"/>
        <v>19.54650561823146</v>
      </c>
      <c r="E218" s="5">
        <f t="shared" si="8"/>
        <v>35.281567232976307</v>
      </c>
    </row>
    <row r="219" spans="1:5" x14ac:dyDescent="0.25">
      <c r="A219" s="2">
        <v>45569</v>
      </c>
      <c r="C219" s="5">
        <f t="shared" si="6"/>
        <v>27.375302481813357</v>
      </c>
      <c r="D219" s="5">
        <f t="shared" si="7"/>
        <v>19.455713964924559</v>
      </c>
      <c r="E219" s="5">
        <f t="shared" si="8"/>
        <v>35.294890998702158</v>
      </c>
    </row>
    <row r="220" spans="1:5" x14ac:dyDescent="0.25">
      <c r="A220" s="2">
        <v>45570</v>
      </c>
      <c r="C220" s="5">
        <f t="shared" si="6"/>
        <v>27.336568538022846</v>
      </c>
      <c r="D220" s="5">
        <f t="shared" si="7"/>
        <v>19.364755659869257</v>
      </c>
      <c r="E220" s="5">
        <f t="shared" si="8"/>
        <v>35.308381416176431</v>
      </c>
    </row>
    <row r="221" spans="1:5" x14ac:dyDescent="0.25">
      <c r="A221" s="2">
        <v>45571</v>
      </c>
      <c r="C221" s="5">
        <f t="shared" si="6"/>
        <v>27.29783459423232</v>
      </c>
      <c r="D221" s="5">
        <f t="shared" si="7"/>
        <v>19.273631495871818</v>
      </c>
      <c r="E221" s="5">
        <f t="shared" si="8"/>
        <v>35.322037692592822</v>
      </c>
    </row>
    <row r="222" spans="1:5" x14ac:dyDescent="0.25">
      <c r="A222" s="2">
        <v>45572</v>
      </c>
      <c r="C222" s="5">
        <f t="shared" si="6"/>
        <v>27.259100650441809</v>
      </c>
      <c r="D222" s="5">
        <f t="shared" si="7"/>
        <v>19.182342255418821</v>
      </c>
      <c r="E222" s="5">
        <f t="shared" si="8"/>
        <v>35.335859045464801</v>
      </c>
    </row>
    <row r="223" spans="1:5" x14ac:dyDescent="0.25">
      <c r="A223" s="2">
        <v>45573</v>
      </c>
      <c r="C223" s="5">
        <f t="shared" si="6"/>
        <v>27.220366706651284</v>
      </c>
      <c r="D223" s="5">
        <f t="shared" si="7"/>
        <v>19.090888710850315</v>
      </c>
      <c r="E223" s="5">
        <f t="shared" si="8"/>
        <v>35.349844702452252</v>
      </c>
    </row>
    <row r="224" spans="1:5" x14ac:dyDescent="0.25">
      <c r="A224" s="2">
        <v>45574</v>
      </c>
      <c r="C224" s="5">
        <f t="shared" si="6"/>
        <v>27.181632762860769</v>
      </c>
      <c r="D224" s="5">
        <f t="shared" si="7"/>
        <v>18.999271624530323</v>
      </c>
      <c r="E224" s="5">
        <f t="shared" si="8"/>
        <v>35.363993901191215</v>
      </c>
    </row>
    <row r="225" spans="1:5" x14ac:dyDescent="0.25">
      <c r="A225" s="2">
        <v>45575</v>
      </c>
      <c r="C225" s="5">
        <f t="shared" si="6"/>
        <v>27.142898819070243</v>
      </c>
      <c r="D225" s="5">
        <f t="shared" si="7"/>
        <v>18.907491749014277</v>
      </c>
      <c r="E225" s="5">
        <f t="shared" si="8"/>
        <v>35.37830588912621</v>
      </c>
    </row>
    <row r="226" spans="1:5" x14ac:dyDescent="0.25">
      <c r="A226" s="2">
        <v>45576</v>
      </c>
      <c r="C226" s="5">
        <f t="shared" si="6"/>
        <v>27.104164875279732</v>
      </c>
      <c r="D226" s="5">
        <f t="shared" si="7"/>
        <v>18.815549827213921</v>
      </c>
      <c r="E226" s="5">
        <f t="shared" si="8"/>
        <v>35.392779923345543</v>
      </c>
    </row>
    <row r="227" spans="1:5" x14ac:dyDescent="0.25">
      <c r="A227" s="2">
        <v>45577</v>
      </c>
      <c r="C227" s="5">
        <f t="shared" si="6"/>
        <v>27.065430931489207</v>
      </c>
      <c r="D227" s="5">
        <f t="shared" si="7"/>
        <v>18.723446592559121</v>
      </c>
      <c r="E227" s="5">
        <f t="shared" si="8"/>
        <v>35.407415270419293</v>
      </c>
    </row>
    <row r="228" spans="1:5" x14ac:dyDescent="0.25">
      <c r="A228" s="2">
        <v>45578</v>
      </c>
      <c r="C228" s="5">
        <f t="shared" si="6"/>
        <v>27.026696987698696</v>
      </c>
      <c r="D228" s="5">
        <f t="shared" si="7"/>
        <v>18.631182769157235</v>
      </c>
      <c r="E228" s="5">
        <f t="shared" si="8"/>
        <v>35.422211206240156</v>
      </c>
    </row>
    <row r="229" spans="1:5" x14ac:dyDescent="0.25">
      <c r="A229" s="2">
        <v>45579</v>
      </c>
      <c r="C229" s="5">
        <f t="shared" si="6"/>
        <v>26.98796304390817</v>
      </c>
      <c r="D229" s="5">
        <f t="shared" si="7"/>
        <v>18.538759071949464</v>
      </c>
      <c r="E229" s="5">
        <f t="shared" si="8"/>
        <v>35.437167015866876</v>
      </c>
    </row>
    <row r="230" spans="1:5" x14ac:dyDescent="0.25">
      <c r="A230" s="2">
        <v>45580</v>
      </c>
      <c r="C230" s="5">
        <f t="shared" si="6"/>
        <v>26.949229100117659</v>
      </c>
      <c r="D230" s="5">
        <f t="shared" si="7"/>
        <v>18.446176206864777</v>
      </c>
      <c r="E230" s="5">
        <f t="shared" si="8"/>
        <v>35.452281993370541</v>
      </c>
    </row>
    <row r="231" spans="1:5" x14ac:dyDescent="0.25">
      <c r="A231" s="2">
        <v>45581</v>
      </c>
      <c r="C231" s="5">
        <f t="shared" si="6"/>
        <v>26.910495156327134</v>
      </c>
      <c r="D231" s="5">
        <f t="shared" si="7"/>
        <v>18.353434870970901</v>
      </c>
      <c r="E231" s="5">
        <f t="shared" si="8"/>
        <v>35.467555441683366</v>
      </c>
    </row>
    <row r="232" spans="1:5" x14ac:dyDescent="0.25">
      <c r="A232" s="2">
        <v>45582</v>
      </c>
      <c r="C232" s="5">
        <f t="shared" si="6"/>
        <v>26.871761212536622</v>
      </c>
      <c r="D232" s="5">
        <f t="shared" si="7"/>
        <v>18.260535752622943</v>
      </c>
      <c r="E232" s="5">
        <f t="shared" si="8"/>
        <v>35.482986672450302</v>
      </c>
    </row>
    <row r="233" spans="1:5" x14ac:dyDescent="0.25">
      <c r="A233" s="2">
        <v>45583</v>
      </c>
      <c r="C233" s="5">
        <f t="shared" si="6"/>
        <v>26.833027268746093</v>
      </c>
      <c r="D233" s="5">
        <f t="shared" si="7"/>
        <v>18.167479531609168</v>
      </c>
      <c r="E233" s="5">
        <f t="shared" si="8"/>
        <v>35.498575005883019</v>
      </c>
    </row>
    <row r="234" spans="1:5" x14ac:dyDescent="0.25">
      <c r="A234" s="2">
        <v>45584</v>
      </c>
      <c r="C234" s="5">
        <f t="shared" si="6"/>
        <v>26.794293324955582</v>
      </c>
      <c r="D234" s="5">
        <f t="shared" si="7"/>
        <v>18.074266879294456</v>
      </c>
      <c r="E234" s="5">
        <f t="shared" si="8"/>
        <v>35.514319770616709</v>
      </c>
    </row>
    <row r="235" spans="1:5" x14ac:dyDescent="0.25">
      <c r="A235" s="2">
        <v>45585</v>
      </c>
      <c r="C235" s="5">
        <f t="shared" si="6"/>
        <v>26.755559381165057</v>
      </c>
      <c r="D235" s="5">
        <f t="shared" si="7"/>
        <v>17.980898458760926</v>
      </c>
      <c r="E235" s="5">
        <f t="shared" si="8"/>
        <v>35.530220303569187</v>
      </c>
    </row>
    <row r="236" spans="1:5" x14ac:dyDescent="0.25">
      <c r="A236" s="2">
        <v>45586</v>
      </c>
      <c r="C236" s="5">
        <f t="shared" si="6"/>
        <v>26.716825437374546</v>
      </c>
      <c r="D236" s="5">
        <f t="shared" si="7"/>
        <v>17.887374924946418</v>
      </c>
      <c r="E236" s="5">
        <f t="shared" si="8"/>
        <v>35.546275949802677</v>
      </c>
    </row>
    <row r="237" spans="1:5" x14ac:dyDescent="0.25">
      <c r="A237" s="2">
        <v>45587</v>
      </c>
      <c r="C237" s="5">
        <f t="shared" ref="C237:C268" si="9">_xlfn.FORECAST.ETS(A237,$B$2:$B$140,$A$2:$A$140,1,1)</f>
        <v>26.67809149358402</v>
      </c>
      <c r="D237" s="5">
        <f t="shared" ref="D237:D268" si="10">C237-_xlfn.FORECAST.ETS.CONFINT(A237,$B$2:$B$140,$A$2:$A$140,0.95,1,1)</f>
        <v>17.793696924780136</v>
      </c>
      <c r="E237" s="5">
        <f t="shared" ref="E237:E268" si="11">C237+_xlfn.FORECAST.ETS.CONFINT(A237,$B$2:$B$140,$A$2:$A$140,0.95,1,1)</f>
        <v>35.562486062387904</v>
      </c>
    </row>
    <row r="238" spans="1:5" x14ac:dyDescent="0.25">
      <c r="A238" s="2">
        <v>45588</v>
      </c>
      <c r="C238" s="5">
        <f t="shared" si="9"/>
        <v>26.639357549793509</v>
      </c>
      <c r="D238" s="5">
        <f t="shared" si="10"/>
        <v>17.699865097316209</v>
      </c>
      <c r="E238" s="5">
        <f t="shared" si="11"/>
        <v>35.578850002270812</v>
      </c>
    </row>
    <row r="239" spans="1:5" x14ac:dyDescent="0.25">
      <c r="A239" s="2">
        <v>45589</v>
      </c>
      <c r="C239" s="5">
        <f t="shared" si="9"/>
        <v>26.600623606002983</v>
      </c>
      <c r="D239" s="5">
        <f t="shared" si="10"/>
        <v>17.605880073864562</v>
      </c>
      <c r="E239" s="5">
        <f t="shared" si="11"/>
        <v>35.595367138141405</v>
      </c>
    </row>
    <row r="240" spans="1:5" x14ac:dyDescent="0.25">
      <c r="A240" s="2">
        <v>45590</v>
      </c>
      <c r="C240" s="5">
        <f t="shared" si="9"/>
        <v>26.561889662212469</v>
      </c>
      <c r="D240" s="5">
        <f t="shared" si="10"/>
        <v>17.511742478119672</v>
      </c>
      <c r="E240" s="5">
        <f t="shared" si="11"/>
        <v>35.612036846305266</v>
      </c>
    </row>
    <row r="241" spans="1:5" x14ac:dyDescent="0.25">
      <c r="A241" s="2">
        <v>45591</v>
      </c>
      <c r="C241" s="5">
        <f t="shared" si="9"/>
        <v>26.523155718421943</v>
      </c>
      <c r="D241" s="5">
        <f t="shared" si="10"/>
        <v>17.417452926286806</v>
      </c>
      <c r="E241" s="5">
        <f t="shared" si="11"/>
        <v>35.62885851055708</v>
      </c>
    </row>
    <row r="242" spans="1:5" x14ac:dyDescent="0.25">
      <c r="A242" s="2">
        <v>45592</v>
      </c>
      <c r="C242" s="5">
        <f t="shared" si="9"/>
        <v>26.484421774631432</v>
      </c>
      <c r="D242" s="5">
        <f t="shared" si="10"/>
        <v>17.323012027206133</v>
      </c>
      <c r="E242" s="5">
        <f t="shared" si="11"/>
        <v>35.645831522056731</v>
      </c>
    </row>
    <row r="243" spans="1:5" x14ac:dyDescent="0.25">
      <c r="A243" s="2">
        <v>45593</v>
      </c>
      <c r="C243" s="5">
        <f t="shared" si="9"/>
        <v>26.445687830840907</v>
      </c>
      <c r="D243" s="5">
        <f t="shared" si="10"/>
        <v>17.228420382474418</v>
      </c>
      <c r="E243" s="5">
        <f t="shared" si="11"/>
        <v>35.662955279207395</v>
      </c>
    </row>
    <row r="244" spans="1:5" x14ac:dyDescent="0.25">
      <c r="A244" s="2">
        <v>45594</v>
      </c>
      <c r="C244" s="5">
        <f t="shared" si="9"/>
        <v>26.406953887050395</v>
      </c>
      <c r="D244" s="5">
        <f t="shared" si="10"/>
        <v>17.13367858656472</v>
      </c>
      <c r="E244" s="5">
        <f t="shared" si="11"/>
        <v>35.680229187536071</v>
      </c>
    </row>
    <row r="245" spans="1:5" x14ac:dyDescent="0.25">
      <c r="A245" s="2">
        <v>45595</v>
      </c>
      <c r="C245" s="5">
        <f t="shared" si="9"/>
        <v>26.36821994325987</v>
      </c>
      <c r="D245" s="5">
        <f t="shared" si="10"/>
        <v>17.038787226943633</v>
      </c>
      <c r="E245" s="5">
        <f t="shared" si="11"/>
        <v>35.697652659576107</v>
      </c>
    </row>
    <row r="246" spans="1:5" x14ac:dyDescent="0.25">
      <c r="A246" s="2">
        <v>45596</v>
      </c>
      <c r="C246" s="5">
        <f t="shared" si="9"/>
        <v>26.329485999469359</v>
      </c>
      <c r="D246" s="5">
        <f t="shared" si="10"/>
        <v>16.943746884186677</v>
      </c>
      <c r="E246" s="5">
        <f t="shared" si="11"/>
        <v>35.715225114752045</v>
      </c>
    </row>
    <row r="247" spans="1:5" x14ac:dyDescent="0.25">
      <c r="A247" s="2">
        <v>45597</v>
      </c>
      <c r="C247" s="5">
        <f t="shared" si="9"/>
        <v>26.290752055678833</v>
      </c>
      <c r="D247" s="5">
        <f t="shared" si="10"/>
        <v>16.848558132091309</v>
      </c>
      <c r="E247" s="5">
        <f t="shared" si="11"/>
        <v>35.732945979266361</v>
      </c>
    </row>
    <row r="248" spans="1:5" x14ac:dyDescent="0.25">
      <c r="A248" s="2">
        <v>45598</v>
      </c>
      <c r="C248" s="5">
        <f t="shared" si="9"/>
        <v>26.252018111888322</v>
      </c>
      <c r="D248" s="5">
        <f t="shared" si="10"/>
        <v>16.753221537788118</v>
      </c>
      <c r="E248" s="5">
        <f t="shared" si="11"/>
        <v>35.75081468598853</v>
      </c>
    </row>
    <row r="249" spans="1:5" x14ac:dyDescent="0.25">
      <c r="A249" s="2">
        <v>45599</v>
      </c>
      <c r="C249" s="5">
        <f t="shared" si="9"/>
        <v>26.213284168097797</v>
      </c>
      <c r="D249" s="5">
        <f t="shared" si="10"/>
        <v>16.657737661849712</v>
      </c>
      <c r="E249" s="5">
        <f t="shared" si="11"/>
        <v>35.768830674345878</v>
      </c>
    </row>
    <row r="250" spans="1:5" x14ac:dyDescent="0.25">
      <c r="A250" s="2">
        <v>45600</v>
      </c>
      <c r="C250" s="5">
        <f t="shared" si="9"/>
        <v>26.174550224307282</v>
      </c>
      <c r="D250" s="5">
        <f t="shared" si="10"/>
        <v>16.562107058397878</v>
      </c>
      <c r="E250" s="5">
        <f t="shared" si="11"/>
        <v>35.786993390216686</v>
      </c>
    </row>
    <row r="251" spans="1:5" x14ac:dyDescent="0.25">
      <c r="A251" s="2">
        <v>45601</v>
      </c>
      <c r="C251" s="5">
        <f t="shared" si="9"/>
        <v>26.135816280516757</v>
      </c>
      <c r="D251" s="5">
        <f t="shared" si="10"/>
        <v>16.46633027520852</v>
      </c>
      <c r="E251" s="5">
        <f t="shared" si="11"/>
        <v>35.805302285824993</v>
      </c>
    </row>
    <row r="252" spans="1:5" x14ac:dyDescent="0.25">
      <c r="A252" s="2">
        <v>45602</v>
      </c>
      <c r="C252" s="5">
        <f t="shared" si="9"/>
        <v>26.097082336726245</v>
      </c>
      <c r="D252" s="5">
        <f t="shared" si="10"/>
        <v>16.370407853814896</v>
      </c>
      <c r="E252" s="5">
        <f t="shared" si="11"/>
        <v>35.823756819637595</v>
      </c>
    </row>
    <row r="253" spans="1:5" x14ac:dyDescent="0.25">
      <c r="A253" s="2">
        <v>45603</v>
      </c>
      <c r="C253" s="5">
        <f t="shared" si="9"/>
        <v>26.05834839293572</v>
      </c>
      <c r="D253" s="5">
        <f t="shared" si="10"/>
        <v>16.274340329608705</v>
      </c>
      <c r="E253" s="5">
        <f t="shared" si="11"/>
        <v>35.842356456262735</v>
      </c>
    </row>
    <row r="254" spans="1:5" x14ac:dyDescent="0.25">
      <c r="A254" s="2">
        <v>45604</v>
      </c>
      <c r="C254" s="5">
        <f t="shared" si="9"/>
        <v>26.019614449145209</v>
      </c>
      <c r="D254" s="5">
        <f t="shared" si="10"/>
        <v>16.178128231939581</v>
      </c>
      <c r="E254" s="5">
        <f t="shared" si="11"/>
        <v>35.861100666350836</v>
      </c>
    </row>
    <row r="255" spans="1:5" x14ac:dyDescent="0.25">
      <c r="A255" s="2">
        <v>45605</v>
      </c>
      <c r="C255" s="5">
        <f t="shared" si="9"/>
        <v>25.98088050535468</v>
      </c>
      <c r="D255" s="5">
        <f t="shared" si="10"/>
        <v>16.081772084212488</v>
      </c>
      <c r="E255" s="5">
        <f t="shared" si="11"/>
        <v>35.879988926496871</v>
      </c>
    </row>
    <row r="256" spans="1:5" x14ac:dyDescent="0.25">
      <c r="A256" s="2">
        <v>45606</v>
      </c>
      <c r="C256" s="5">
        <f t="shared" si="9"/>
        <v>25.942146561564169</v>
      </c>
      <c r="D256" s="5">
        <f t="shared" si="10"/>
        <v>15.985272403983565</v>
      </c>
      <c r="E256" s="5">
        <f t="shared" si="11"/>
        <v>35.899020719144772</v>
      </c>
    </row>
    <row r="257" spans="1:5" x14ac:dyDescent="0.25">
      <c r="A257" s="2">
        <v>45607</v>
      </c>
      <c r="C257" s="5">
        <f t="shared" si="9"/>
        <v>25.903412617773643</v>
      </c>
      <c r="D257" s="5">
        <f t="shared" si="10"/>
        <v>15.888629703053937</v>
      </c>
      <c r="E257" s="5">
        <f t="shared" si="11"/>
        <v>35.91819553249335</v>
      </c>
    </row>
    <row r="258" spans="1:5" x14ac:dyDescent="0.25">
      <c r="A258" s="2">
        <v>45608</v>
      </c>
      <c r="C258" s="5">
        <f t="shared" si="9"/>
        <v>25.864678673983132</v>
      </c>
      <c r="D258" s="5">
        <f t="shared" si="10"/>
        <v>15.791844487562075</v>
      </c>
      <c r="E258" s="5">
        <f t="shared" si="11"/>
        <v>35.93751286040419</v>
      </c>
    </row>
    <row r="259" spans="1:5" x14ac:dyDescent="0.25">
      <c r="A259" s="2">
        <v>45609</v>
      </c>
      <c r="C259" s="5">
        <f t="shared" si="9"/>
        <v>25.825944730192607</v>
      </c>
      <c r="D259" s="5">
        <f t="shared" si="10"/>
        <v>15.69491725807419</v>
      </c>
      <c r="E259" s="5">
        <f t="shared" si="11"/>
        <v>35.956972202311022</v>
      </c>
    </row>
    <row r="260" spans="1:5" x14ac:dyDescent="0.25">
      <c r="A260" s="2">
        <v>45610</v>
      </c>
      <c r="C260" s="5">
        <f t="shared" si="9"/>
        <v>25.787210786402095</v>
      </c>
      <c r="D260" s="5">
        <f t="shared" si="10"/>
        <v>15.597848509673167</v>
      </c>
      <c r="E260" s="5">
        <f t="shared" si="11"/>
        <v>35.976573063131028</v>
      </c>
    </row>
    <row r="261" spans="1:5" x14ac:dyDescent="0.25">
      <c r="A261" s="2">
        <v>45611</v>
      </c>
      <c r="C261" s="5">
        <f t="shared" si="9"/>
        <v>25.74847684261157</v>
      </c>
      <c r="D261" s="5">
        <f t="shared" si="10"/>
        <v>15.500638732045676</v>
      </c>
      <c r="E261" s="5">
        <f t="shared" si="11"/>
        <v>35.99631495317746</v>
      </c>
    </row>
    <row r="262" spans="1:5" x14ac:dyDescent="0.25">
      <c r="A262" s="2">
        <v>45612</v>
      </c>
      <c r="C262" s="5">
        <f t="shared" si="9"/>
        <v>25.709742898821059</v>
      </c>
      <c r="D262" s="5">
        <f t="shared" si="10"/>
        <v>15.403288409567862</v>
      </c>
      <c r="E262" s="5">
        <f t="shared" si="11"/>
        <v>36.016197388074254</v>
      </c>
    </row>
    <row r="263" spans="1:5" x14ac:dyDescent="0.25">
      <c r="A263" s="2">
        <v>45613</v>
      </c>
      <c r="C263" s="5">
        <f t="shared" si="9"/>
        <v>25.671008955030533</v>
      </c>
      <c r="D263" s="5">
        <f t="shared" si="10"/>
        <v>15.305798021389235</v>
      </c>
      <c r="E263" s="5">
        <f t="shared" si="11"/>
        <v>36.03621988867183</v>
      </c>
    </row>
    <row r="264" spans="1:5" x14ac:dyDescent="0.25">
      <c r="A264" s="2">
        <v>45614</v>
      </c>
      <c r="C264" s="5">
        <f t="shared" si="9"/>
        <v>25.632275011240022</v>
      </c>
      <c r="D264" s="5">
        <f t="shared" si="10"/>
        <v>15.208168041515243</v>
      </c>
      <c r="E264" s="5">
        <f t="shared" si="11"/>
        <v>36.056381980964801</v>
      </c>
    </row>
    <row r="265" spans="1:5" x14ac:dyDescent="0.25">
      <c r="A265" s="2">
        <v>45615</v>
      </c>
      <c r="C265" s="5">
        <f t="shared" si="9"/>
        <v>25.593541067449497</v>
      </c>
      <c r="D265" s="5">
        <f t="shared" si="10"/>
        <v>15.110398938888101</v>
      </c>
      <c r="E265" s="5">
        <f t="shared" si="11"/>
        <v>36.07668319601089</v>
      </c>
    </row>
    <row r="266" spans="1:5" x14ac:dyDescent="0.25">
      <c r="A266" s="2">
        <v>45616</v>
      </c>
      <c r="C266" s="5">
        <f t="shared" si="9"/>
        <v>25.554807123658982</v>
      </c>
      <c r="D266" s="5">
        <f t="shared" si="10"/>
        <v>15.012491177466323</v>
      </c>
      <c r="E266" s="5">
        <f t="shared" si="11"/>
        <v>36.097123069851641</v>
      </c>
    </row>
    <row r="267" spans="1:5" x14ac:dyDescent="0.25">
      <c r="A267" s="2">
        <v>45617</v>
      </c>
      <c r="C267" s="5">
        <f t="shared" si="9"/>
        <v>25.516073179868457</v>
      </c>
      <c r="D267" s="5">
        <f t="shared" si="10"/>
        <v>14.914445216302619</v>
      </c>
      <c r="E267" s="5">
        <f t="shared" si="11"/>
        <v>36.117701143434296</v>
      </c>
    </row>
    <row r="268" spans="1:5" x14ac:dyDescent="0.25">
      <c r="A268" s="2">
        <v>45618</v>
      </c>
      <c r="C268" s="5">
        <f t="shared" si="9"/>
        <v>25.477339236077945</v>
      </c>
      <c r="D268" s="5">
        <f t="shared" si="10"/>
        <v>14.816261509620514</v>
      </c>
      <c r="E268" s="5">
        <f t="shared" si="11"/>
        <v>36.138416962535374</v>
      </c>
    </row>
    <row r="269" spans="1:5" x14ac:dyDescent="0.25">
      <c r="A269" s="2">
        <v>45619</v>
      </c>
      <c r="C269" s="5">
        <f t="shared" ref="C269:C279" si="12">_xlfn.FORECAST.ETS(A269,$B$2:$B$140,$A$2:$A$140,1,1)</f>
        <v>25.43860529228742</v>
      </c>
      <c r="D269" s="5">
        <f t="shared" ref="D269:D300" si="13">C269-_xlfn.FORECAST.ETS.CONFINT(A269,$B$2:$B$140,$A$2:$A$140,0.95,1,1)</f>
        <v>14.717940506889381</v>
      </c>
      <c r="E269" s="5">
        <f t="shared" ref="E269:E279" si="14">C269+_xlfn.FORECAST.ETS.CONFINT(A269,$B$2:$B$140,$A$2:$A$140,0.95,1,1)</f>
        <v>36.159270077685463</v>
      </c>
    </row>
    <row r="270" spans="1:5" x14ac:dyDescent="0.25">
      <c r="A270" s="2">
        <v>45620</v>
      </c>
      <c r="C270" s="5">
        <f t="shared" si="12"/>
        <v>25.399871348496909</v>
      </c>
      <c r="D270" s="5">
        <f t="shared" si="13"/>
        <v>14.619482652898297</v>
      </c>
      <c r="E270" s="5">
        <f t="shared" si="14"/>
        <v>36.180260044095519</v>
      </c>
    </row>
    <row r="271" spans="1:5" x14ac:dyDescent="0.25">
      <c r="A271" s="2">
        <v>45621</v>
      </c>
      <c r="C271" s="5">
        <f t="shared" si="12"/>
        <v>25.36113740470638</v>
      </c>
      <c r="D271" s="5">
        <f t="shared" si="13"/>
        <v>14.520888387828322</v>
      </c>
      <c r="E271" s="5">
        <f t="shared" si="14"/>
        <v>36.201386421584438</v>
      </c>
    </row>
    <row r="272" spans="1:5" x14ac:dyDescent="0.25">
      <c r="A272" s="2">
        <v>45622</v>
      </c>
      <c r="C272" s="5">
        <f t="shared" si="12"/>
        <v>25.322403460915869</v>
      </c>
      <c r="D272" s="5">
        <f t="shared" si="13"/>
        <v>14.422158147323685</v>
      </c>
      <c r="E272" s="5">
        <f t="shared" si="14"/>
        <v>36.222648774508052</v>
      </c>
    </row>
    <row r="273" spans="1:5" x14ac:dyDescent="0.25">
      <c r="A273" s="2">
        <v>45623</v>
      </c>
      <c r="C273" s="5">
        <f t="shared" si="12"/>
        <v>25.283669517125343</v>
      </c>
      <c r="D273" s="5">
        <f t="shared" si="13"/>
        <v>14.323292362561412</v>
      </c>
      <c r="E273" s="5">
        <f t="shared" si="14"/>
        <v>36.244046671689276</v>
      </c>
    </row>
    <row r="274" spans="1:5" x14ac:dyDescent="0.25">
      <c r="A274" s="2">
        <v>45624</v>
      </c>
      <c r="C274" s="5">
        <f t="shared" si="12"/>
        <v>25.244935573334832</v>
      </c>
      <c r="D274" s="5">
        <f t="shared" si="13"/>
        <v>14.224291460319924</v>
      </c>
      <c r="E274" s="5">
        <f t="shared" si="14"/>
        <v>36.265579686349739</v>
      </c>
    </row>
    <row r="275" spans="1:5" x14ac:dyDescent="0.25">
      <c r="A275" s="2">
        <v>45625</v>
      </c>
      <c r="C275" s="5">
        <f t="shared" si="12"/>
        <v>25.206201629544307</v>
      </c>
      <c r="D275" s="5">
        <f t="shared" si="13"/>
        <v>14.12515586304615</v>
      </c>
      <c r="E275" s="5">
        <f t="shared" si="14"/>
        <v>36.28724739604246</v>
      </c>
    </row>
    <row r="276" spans="1:5" x14ac:dyDescent="0.25">
      <c r="A276" s="2">
        <v>45626</v>
      </c>
      <c r="C276" s="5">
        <f t="shared" si="12"/>
        <v>25.167467685753795</v>
      </c>
      <c r="D276" s="5">
        <f t="shared" si="13"/>
        <v>14.025885988921639</v>
      </c>
      <c r="E276" s="5">
        <f t="shared" si="14"/>
        <v>36.309049382585954</v>
      </c>
    </row>
    <row r="277" spans="1:5" x14ac:dyDescent="0.25">
      <c r="A277" s="2">
        <v>45627</v>
      </c>
      <c r="C277" s="5">
        <f t="shared" si="12"/>
        <v>25.12873374196327</v>
      </c>
      <c r="D277" s="5">
        <f t="shared" si="13"/>
        <v>13.926482251927235</v>
      </c>
      <c r="E277" s="5">
        <f t="shared" si="14"/>
        <v>36.330985231999307</v>
      </c>
    </row>
    <row r="278" spans="1:5" x14ac:dyDescent="0.25">
      <c r="A278" s="2">
        <v>45628</v>
      </c>
      <c r="C278" s="5">
        <f t="shared" si="12"/>
        <v>25.089999798172759</v>
      </c>
      <c r="D278" s="5">
        <f t="shared" si="13"/>
        <v>13.826945061906795</v>
      </c>
      <c r="E278" s="5">
        <f t="shared" si="14"/>
        <v>36.353054534438726</v>
      </c>
    </row>
    <row r="279" spans="1:5" x14ac:dyDescent="0.25">
      <c r="A279" s="2">
        <v>45629</v>
      </c>
      <c r="C279" s="5">
        <f t="shared" si="12"/>
        <v>25.051265854382233</v>
      </c>
      <c r="D279" s="5">
        <f t="shared" si="13"/>
        <v>13.727274824629522</v>
      </c>
      <c r="E279" s="5">
        <f t="shared" si="14"/>
        <v>36.375256884134942</v>
      </c>
    </row>
  </sheetData>
  <pageMargins left="0.7" right="0.7" top="0.75" bottom="0.75" header="0.3" footer="0.3"/>
  <ignoredErrors>
    <ignoredError sqref="C140:E140" calculatedColumn="1"/>
  </ignoredErrors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0EAAC6D-1FF0-4E7B-9FEE-78DD35749F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</vt:lpstr>
      <vt:lpstr>Dashboard</vt:lpstr>
      <vt:lpstr>Coffee dataset</vt:lpstr>
      <vt:lpstr>Forecast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elijah okpako</dc:creator>
  <cp:lastModifiedBy>elijah okpako</cp:lastModifiedBy>
  <dcterms:created xsi:type="dcterms:W3CDTF">2024-07-20T13:33:39Z</dcterms:created>
  <dcterms:modified xsi:type="dcterms:W3CDTF">2024-07-20T22:47:55Z</dcterms:modified>
</cp:coreProperties>
</file>